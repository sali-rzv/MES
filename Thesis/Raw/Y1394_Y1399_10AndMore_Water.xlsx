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wi\Desktop\"/>
    </mc:Choice>
  </mc:AlternateContent>
  <xr:revisionPtr revIDLastSave="0" documentId="8_{8188B288-9786-4B7A-A057-92547DABEBCD}" xr6:coauthVersionLast="47" xr6:coauthVersionMax="47" xr10:uidLastSave="{00000000-0000-0000-0000-000000000000}"/>
  <bookViews>
    <workbookView xWindow="-120" yWindow="-120" windowWidth="20730" windowHeight="11160" tabRatio="862" activeTab="5" xr2:uid="{96565E82-3B7D-43E0-B6CC-F30D21CA31C2}"/>
  </bookViews>
  <sheets>
    <sheet name="فهرست" sheetId="13" r:id="rId1"/>
    <sheet name="مشخصات کلی طرح" sheetId="15" r:id="rId2"/>
    <sheet name="تعاریف" sheetId="14" r:id="rId3"/>
    <sheet name="تعداد کارگاه آیسیک" sheetId="10" r:id="rId4"/>
    <sheet name="تعداد کارگاه استان" sheetId="9" r:id="rId5"/>
    <sheet name="آب مصرفی آیسیک" sheetId="1" r:id="rId6"/>
    <sheet name="آب مصرفی استان" sheetId="2" r:id="rId7"/>
    <sheet name="آب خریداری آیسیک" sheetId="3" r:id="rId8"/>
    <sheet name="آب خریداری استان" sheetId="4" r:id="rId9"/>
    <sheet name="فاضلاب آیسیک" sheetId="16" r:id="rId10"/>
    <sheet name="فاضلاب استان" sheetId="17" r:id="rId11"/>
    <sheet name="پسماند آیسیک" sheetId="18" r:id="rId12"/>
    <sheet name="پسماند استان " sheetId="19" r:id="rId13"/>
  </sheets>
  <externalReferences>
    <externalReference r:id="rId14"/>
  </externalReferences>
  <definedNames>
    <definedName name="ab_kharidari_isic95">#REF!</definedName>
    <definedName name="ab_kharidari_isic96">'آب خریداری آیسیک'!$G$4:$H$29</definedName>
    <definedName name="ab_kharidari_o95">#REF!</definedName>
    <definedName name="ab_kharidari_o96">'آب خریداری استان'!$G$4:$H$36</definedName>
    <definedName name="ab_mas_is4_96">'آب مصرفی آیسیک'!$E$4:$G$29</definedName>
    <definedName name="ab_mas_isic4_95">#REF!</definedName>
    <definedName name="ab_mas_o95">#REF!</definedName>
    <definedName name="ab_os96">'آب مصرفی استان'!$G$4:$H$36</definedName>
    <definedName name="pas_o96">#REF!</definedName>
    <definedName name="pasmand_is96">#REF!</definedName>
    <definedName name="pasmand_isic95">#REF!</definedName>
    <definedName name="pasmand_isic96">#REF!</definedName>
    <definedName name="pasmand_o95">#REF!</definedName>
    <definedName name="pasmand_o96">#REF!</definedName>
    <definedName name="sewage_isic95">#REF!</definedName>
    <definedName name="sewage_isic96">#REF!</definedName>
    <definedName name="sewage_o95">#REF!</definedName>
    <definedName name="sewage_o96">#REF!</definedName>
    <definedName name="tedad_isic96">'تعداد کارگاه آیسیک'!$J$1:$K$33</definedName>
    <definedName name="tedad_ostan96">'تعداد کارگاه استان'!$E$4:$G$36</definedName>
  </definedNames>
  <calcPr calcId="181029"/>
</workbook>
</file>

<file path=xl/calcChain.xml><?xml version="1.0" encoding="utf-8"?>
<calcChain xmlns="http://schemas.openxmlformats.org/spreadsheetml/2006/main">
  <c r="F5" i="10" l="1"/>
  <c r="G5" i="10"/>
</calcChain>
</file>

<file path=xl/sharedStrings.xml><?xml version="1.0" encoding="utf-8"?>
<sst xmlns="http://schemas.openxmlformats.org/spreadsheetml/2006/main" count="382" uniqueCount="128">
  <si>
    <t>آذربايجان شرقي</t>
  </si>
  <si>
    <t>آذربايجان غربي</t>
  </si>
  <si>
    <t>اردبيل</t>
  </si>
  <si>
    <t>اصفهان</t>
  </si>
  <si>
    <t>البرز</t>
  </si>
  <si>
    <t>ايلام</t>
  </si>
  <si>
    <t>بوشهر</t>
  </si>
  <si>
    <t>تهران</t>
  </si>
  <si>
    <t>خراسان جنوبي</t>
  </si>
  <si>
    <t>خراسان شمالي</t>
  </si>
  <si>
    <t>خوزستان</t>
  </si>
  <si>
    <t>زنجان</t>
  </si>
  <si>
    <t>سمنان</t>
  </si>
  <si>
    <t>فارس</t>
  </si>
  <si>
    <t>قزوين</t>
  </si>
  <si>
    <t>قم</t>
  </si>
  <si>
    <t>كردستان</t>
  </si>
  <si>
    <t>كرمان</t>
  </si>
  <si>
    <t>كرمانشاه</t>
  </si>
  <si>
    <t>گلستان</t>
  </si>
  <si>
    <t>گيلان</t>
  </si>
  <si>
    <t>لرستان</t>
  </si>
  <si>
    <t>مازندران</t>
  </si>
  <si>
    <t>هرمزگان</t>
  </si>
  <si>
    <t>همدان</t>
  </si>
  <si>
    <t>يزد</t>
  </si>
  <si>
    <t>تعداد کارگاه</t>
  </si>
  <si>
    <t>استان</t>
  </si>
  <si>
    <t>کل کشور</t>
  </si>
  <si>
    <t>خراسان رضوي</t>
  </si>
  <si>
    <t>سيستان و بلوچستان</t>
  </si>
  <si>
    <t>كهگيلويه و بويراحمد</t>
  </si>
  <si>
    <t>مركزي</t>
  </si>
  <si>
    <t>فهرست مندرجات</t>
  </si>
  <si>
    <t>کد آیسیک REV4</t>
  </si>
  <si>
    <t>فعالیت</t>
  </si>
  <si>
    <t>کل صنعت</t>
  </si>
  <si>
    <t>توليد فراورده‌هاي غذايي</t>
  </si>
  <si>
    <t>توليد انواع آشاميدني‌ها</t>
  </si>
  <si>
    <t>توليد فراورده‌هاي توتون و تنباكو</t>
  </si>
  <si>
    <t>توليد منسوجات</t>
  </si>
  <si>
    <t>توليد پوشاك</t>
  </si>
  <si>
    <t>چاپ و تکثير رسانه‌هاي ضبط شده</t>
  </si>
  <si>
    <t>توليد فلزات پايه</t>
  </si>
  <si>
    <t>توليد تجهيزات برقي</t>
  </si>
  <si>
    <t>توليد ساير تجهيزات حمل و نقل</t>
  </si>
  <si>
    <t>توليد مبلمان</t>
  </si>
  <si>
    <t>مقدار آب مصرفی</t>
  </si>
  <si>
    <t>کد استان</t>
  </si>
  <si>
    <t>آب خریداری شده</t>
  </si>
  <si>
    <t>توليد چرم و فراورده‌هاي وابسته</t>
  </si>
  <si>
    <t>توليد کاغذ و فراورده‌هاي کاغذي</t>
  </si>
  <si>
    <t>توليد کک و فراورده‌هاي حاصل از پالايش نفت</t>
  </si>
  <si>
    <t>توليد محصولات فلزي ساخته شده، بجز ماشين آلات و تجهيزات</t>
  </si>
  <si>
    <t>ساخت محصولات رايانه‌اي، الکترونيکي و نوري</t>
  </si>
  <si>
    <t>توليد ماشين‌آلات و تجهيزات طبقه‌بندي نشده در جاي ديگر</t>
  </si>
  <si>
    <t>توليد وسايل نقليه موتوري، تريلر و نيم تريلر</t>
  </si>
  <si>
    <t>توليد ساير مصنوعات طبقه‌بندي نشده در جاي ديگر</t>
  </si>
  <si>
    <t>تعمير و نصب ماشين‌آلات و تجهيزات</t>
  </si>
  <si>
    <t>توليد چوب و فراورده‌هاي چوب و چوب پنبه- بجز مبلمان- ساخت کالا از حصير و مواد حصير بافي</t>
  </si>
  <si>
    <t>توليد مواد شيميايي و فراورده‌هاي شيميايي</t>
  </si>
  <si>
    <t>توليد داروها و فراورده‌هاي دارويي شيميايي و گياهي</t>
  </si>
  <si>
    <t>توليد فراورده‌هاي لاستيکي و پلاستيکي</t>
  </si>
  <si>
    <t>توليد ساير فراورده‌هاي معدني غير فلزي</t>
  </si>
  <si>
    <t>چهارمحال و بختياري</t>
  </si>
  <si>
    <t>كهگيلويه و بوير احمد</t>
  </si>
  <si>
    <t xml:space="preserve">کل صنعت </t>
  </si>
  <si>
    <t xml:space="preserve">کل کشور </t>
  </si>
  <si>
    <t>مشخصات كلی طرح</t>
  </si>
  <si>
    <t>هدف كلی طرح</t>
  </si>
  <si>
    <t>جامعه‌ی هدف</t>
  </si>
  <si>
    <t>واحد آماری</t>
  </si>
  <si>
    <t>زمان آماری</t>
  </si>
  <si>
    <t>واحد آماري در اين طرح، يك كارگاه صنعتي مستقل و متبوع  10 نفر كاركن و بيش تر است.</t>
  </si>
  <si>
    <t>زمان آمارگيري</t>
  </si>
  <si>
    <t>روش آمارگيري</t>
  </si>
  <si>
    <t xml:space="preserve">در اين طرح ، كارگاه‌هاي صنعتي 50 نفر كاركن و بيش تر و کارگاه‌هایی که اطلاعات مالی آنها در سازمان بورس و سازمان حسابرسی قابل دسترسی می باشد به صورت سرشماری و در مورد كارگاه‌هاي صنعتي 49-10 نفر كاركن به صورت نمونه گیری و بر حسب مورد آمارگیری می‌شود. </t>
  </si>
  <si>
    <t>كارگاه صنعتي</t>
  </si>
  <si>
    <t>كارگاه صنعتي مكان ثابتي است كه در آن مجموعه‌اي از سرمايه و نيروي كار به منظور توليد يك يا چند محصول صنعتي به كار گرفته شده است.</t>
  </si>
  <si>
    <t>كارگاه صنعتي 10 نفر کارکن و بيش‌تر</t>
  </si>
  <si>
    <t xml:space="preserve">آب مصرف شده </t>
  </si>
  <si>
    <t>روش نمونه‌گیری</t>
  </si>
  <si>
    <t>تعداد نمونه</t>
  </si>
  <si>
    <t xml:space="preserve">روش جمع آوري داده ها  </t>
  </si>
  <si>
    <t>طبقه‌بندی استاندارد آماری</t>
  </si>
  <si>
    <t>در تدوين و انتشار اين نشريه از طبقه‌بندي بين‌المللي فعاليت‌هاي اقتصادي (I.S.I.C) ويرايش چهارم استفاده شده است‌.</t>
  </si>
  <si>
    <t>تواتر تولید</t>
  </si>
  <si>
    <t>تواتر تولید آمار در این طرح به صورت سالانه است.</t>
  </si>
  <si>
    <t>در اين آمارگيري، اطلاعات به صورت مصاحبه‌ي مستقيم با مسئول يا مدير كارگاه صنعتي(واحد آماري) یا به صورت پستی، ایمیل و فکس گردآوري و در پرسشنامه مورد نظر درج مي‌شود.</t>
  </si>
  <si>
    <t xml:space="preserve">چارچوب نمونه گیری </t>
  </si>
  <si>
    <t xml:space="preserve">کارگاههای صنعتی ده نفر کارکن و بیشتر به دو زیرجامعه تقسیم می‌شوند:
الف) کارگاههای صنعتی 50 کارکن و بیشتر که در زیرجامعه‌ی سرشماری قرار دارند و برای همه‌ی آن‌ها پرسشنامه تکمیل می‌‌شود.
ب) کارگاههای صنعتی 10 تا 49 کارکن که در زیرجامعه‌ی نمونه‌گیری قرار داده شده‌اند. روش نمونه‌گیری در این زیرجامعه احتمالی تصادفی طبقه بندی است. طبقات براساس تعداد کارکنان در سطح استان- رشته فعالیت مشخص شده اند. </t>
  </si>
  <si>
    <t>کارگاه صنعتی فعال</t>
  </si>
  <si>
    <t>کارگاهی فعال محسوب می‌شود که حداقل 30 روز کاری را در سال به طور پیوسته یا منقطع به فعالیت تولیدی اشتغال داشته باشد.</t>
  </si>
  <si>
    <t>کارگاه صنعتی غیرفعال</t>
  </si>
  <si>
    <t>کارگاه‌های زیر کارگاه صنعتی غیرفعال محسوب می‌شوند:</t>
  </si>
  <si>
    <t>1-     کارگاه به علت تعمیرات یا به هر دلیل دیگری، در زمان آماری به صورت موقت تعطيل بوده و در سال مورد نظر هیچ‌گونه فعالیت تولیدی نداشته است اما دوباره به فعالیت صنعتی خود ادامه می‌دهد.</t>
  </si>
  <si>
    <t>2-     کارگاه در زمان آماری تعطیل دائم شده است و هیچ‌گونه فعالیت تولیدی در آینده نخواهد داشت.</t>
  </si>
  <si>
    <t>تفاوت در سرجمع‌ها به دلیل براورد و گرد شدن ارقام است .</t>
  </si>
  <si>
    <t xml:space="preserve">هدف کلی طرح تهیه براورد مقدار آب مصرفی كارگاه‌هاي صنعتي به‌تفكيك استان و نوع فعالیت اقتصادی کارگاه‌های آمارگیری شده که با توجه به توصیه‌های سازمان ملل بر اساس کدهای دو رقمی ISIC-Rev4 است، ارائه مي‌دهد. </t>
  </si>
  <si>
    <t>جدول 1- تعداد کارگاه‌های فعال صنعتی 10 نفر کارکن و بیشتر به‌تفکیک فعالیت: 1394 تا 1399</t>
  </si>
  <si>
    <t>جدول 2- تعداد کارگاه‌های فعال صنعتی 10 نفر کارکن و بیشتر به‌تفکیک استان : 1394 تا 1399</t>
  </si>
  <si>
    <t>جدول 3- مقدار آب مصرفی در کارگاه‌های صنعتی 10 نفر کارکن و بیشتر به‌تفکیک فعالیت: 1394 تا 1399     (متر مکعب)</t>
  </si>
  <si>
    <t>جدول 4- مقدار آب مصرفی در کارگاه‌های صنعتی 10 نفر کارکن و بیشتر به‌تفکیک استان: 1394 تا 1399      (متر مکعب)</t>
  </si>
  <si>
    <t>جدول 5- مقدار آب خریداری شده در کارگاه‌های صنعتی 10 نفر کارکن و بیشتر به‌تفکیک فعالیت: 1394 تا 1399        (متر مکعب)</t>
  </si>
  <si>
    <t>جدول 6-  مقدار آب خریداری شده در کارگاه‌های صنعتی 10 نفر کارکن و بیشتر به‌تفکیک استان: 1394 تا 1399     (متر مکعب)</t>
  </si>
  <si>
    <t>جدول 7- مقدار فاضلاب صنعتی در کارگاه‌های صنعتی 10 نفر کارکن و بیشتر به‌تفکیک فعالیت: 1394 تا 1399         (متر مکعب)</t>
  </si>
  <si>
    <t>فاضلاب</t>
  </si>
  <si>
    <t>جدول 8- مقدار فاضلاب صنعتی در کارگاه‌های صنعتی 10 نفر کارکن و بیشتر به‌تفکیک استان: 1394 تا 1399       (متر مکعب)</t>
  </si>
  <si>
    <t xml:space="preserve">جدول 9- مقدار پسماند صنعتی جامد و مایع در کارگاه‌های صنعتی 10 نفر کارکن و بیشتر به‌تفکیک فعالیت: 1394 تا 1399           </t>
  </si>
  <si>
    <t>پسماند جامد (تن)</t>
  </si>
  <si>
    <t>پسماند مایع (متر مکعب)</t>
  </si>
  <si>
    <t xml:space="preserve">جدول 10- مقدار پسماند صنعتی جامد و مایع در کارگاه‌های صنعتی 10 نفر کارکن و بیشتر به‌تفکیک استان: 1394 تا 1399          </t>
  </si>
  <si>
    <t>جدول 3- مقدار آب مصرفی در کارگاه‌های صنعتی 10 نفر کارکن و بیشتر به‌تفکیک فعالیت: 1394 تا 1399</t>
  </si>
  <si>
    <t>جدول 4- مقدار آب مصرفی در کارگاه‌های صنعتی 10 نفر کارکن و بیشتر به‌تفکیک استان: 1394 تا 1399</t>
  </si>
  <si>
    <t>جدول 5- مقدار آب خریداری شده در کارگاه‌های صنعتی 10 نفر کارکن و بیشتر به‌تفکیک فعالیت: 1394 تا 1399</t>
  </si>
  <si>
    <t>جدول 6-  مقدار آب خریداری شده در کارگاه‌های صنعتی 10 نفر کارکن و بیشتر به‌تفکیک استان: 1394 تا 1399</t>
  </si>
  <si>
    <t>جدول 7- مقدار فاضلاب صنعتی در کارگاه‌های صنعتی 10 نفر کارکن و بیشتر به‌تفکیک فعالیت: 1394 تا 1399</t>
  </si>
  <si>
    <t>جدول 8- مقدار فاضلاب صنعتی در کارگاه‌های صنعتی 10 نفر کارکن و بیشتر به‌تفکیک استان: 1394 تا 1399</t>
  </si>
  <si>
    <t>جدول 9- مقدار پسماند صنعتی جامد و مایع در کارگاه‌های صنعتی 10 نفر کارکن و بیشتر به‌تفکیک فعالیت: 1394 تا 1399</t>
  </si>
  <si>
    <t>جدول 10- مقدار پسماند صنعتی جامد و مایع در کارگاه‌های صنعتی 10 نفر کارکن و بیشتر به‌تفکیک استان: 1394 تا 1399</t>
  </si>
  <si>
    <t>چارچوب مورد استفاده در اين طرح، فهرست كارگاه‌هاي صنعتي مستقل و متبوع 10 نفر کارکن و بيش‌تر است كه با استفاده از نتايج سرشماري عمومي كارگاهي سال 1381 تهيه و در سال‌هاي 1394 تا 1399 با استفاده از اطلاعات دستگاه‌های اجرایی بهنگام شده است.</t>
  </si>
  <si>
    <t>25394 کارگاه</t>
  </si>
  <si>
    <t xml:space="preserve">آمارگيري از كارگاه‌هاي صنعتي 10 نفر كاركن و بيش تر  از 12 تیر سال 1400 شروع می شود و 10 مهر همان سال تاریخ اتمام اجرای طرح در استان ها می باشد. </t>
  </si>
  <si>
    <t>جامعه ي هدف اين طرح، كليه كارگاه‌هاي صنعتي 10 نفر كاركن و بيش تر كشور در سال 1399 است.</t>
  </si>
  <si>
    <t>زمان آماري در اين طرح سال 1399 است.</t>
  </si>
  <si>
    <t xml:space="preserve">مقدار آب مصرف شده کارگاه بر حسب متر مكعب طی سال 1399 است. </t>
  </si>
  <si>
    <t>مقدار آب خریداری شده کارگاه را بر حسب متر مكعب در طول سال 1399 است.</t>
  </si>
  <si>
    <t>كارگاه صنعتی فعالی است كه در سال 1399 متوسط تعداد كاركنان آن، 10 نفر و بيش‌تر بوده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</si>
</sst>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5" formatCode="_(* #,##0_);_(* \(#,##0\);_(* &quot;-&quot;??_);_(@_)"/>
  </numFmts>
  <fonts count="14">
    <font>
      <sz val="10"/>
      <name val="MS Sans Serif"/>
      <family val="2"/>
      <charset val="178"/>
    </font>
    <font>
      <sz val="10"/>
      <name val="MS Sans Serif"/>
      <family val="2"/>
      <charset val="178"/>
    </font>
    <font>
      <u/>
      <sz val="10"/>
      <color indexed="12"/>
      <name val="MS Sans Serif"/>
      <family val="2"/>
      <charset val="178"/>
    </font>
    <font>
      <sz val="10"/>
      <name val="Tahoma"/>
      <family val="2"/>
    </font>
    <font>
      <b/>
      <sz val="10"/>
      <name val="Tahoma"/>
      <family val="2"/>
    </font>
    <font>
      <b/>
      <sz val="11"/>
      <name val="Tahoma"/>
      <family val="2"/>
    </font>
    <font>
      <b/>
      <u/>
      <sz val="10"/>
      <color indexed="12"/>
      <name val="Tahoma"/>
      <family val="2"/>
    </font>
    <font>
      <sz val="10"/>
      <color theme="1"/>
      <name val="Tahoma"/>
      <family val="2"/>
    </font>
    <font>
      <b/>
      <sz val="10"/>
      <color rgb="FF000000"/>
      <name val="Tahoma"/>
      <family val="2"/>
    </font>
    <font>
      <sz val="10"/>
      <color rgb="FF000000"/>
      <name val="Tahoma"/>
      <family val="2"/>
    </font>
    <font>
      <sz val="12"/>
      <color theme="1"/>
      <name val="B Mitra"/>
      <charset val="178"/>
    </font>
    <font>
      <b/>
      <sz val="11"/>
      <color rgb="FF000000"/>
      <name val="Tahoma"/>
      <family val="2"/>
    </font>
    <font>
      <b/>
      <sz val="10"/>
      <color theme="1"/>
      <name val="Tahoma"/>
      <family val="2"/>
    </font>
    <font>
      <b/>
      <sz val="10"/>
      <color rgb="FFFF0000"/>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34">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ck">
        <color theme="8"/>
      </right>
      <top/>
      <bottom/>
      <diagonal/>
    </border>
    <border>
      <left/>
      <right/>
      <top style="thick">
        <color theme="8"/>
      </top>
      <bottom/>
      <diagonal/>
    </border>
    <border>
      <left/>
      <right style="thick">
        <color theme="8"/>
      </right>
      <top style="thick">
        <color theme="8"/>
      </top>
      <bottom/>
      <diagonal/>
    </border>
    <border>
      <left style="thick">
        <color theme="8"/>
      </left>
      <right style="thick">
        <color theme="8"/>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48">
    <xf numFmtId="0" fontId="0" fillId="0" borderId="0" xfId="0"/>
    <xf numFmtId="0" fontId="7" fillId="0" borderId="0" xfId="0" applyFont="1" applyAlignment="1">
      <alignment wrapText="1"/>
    </xf>
    <xf numFmtId="0" fontId="8" fillId="0" borderId="0" xfId="0" applyFont="1" applyAlignment="1">
      <alignment horizontal="right" vertical="center" wrapText="1" readingOrder="2"/>
    </xf>
    <xf numFmtId="0" fontId="9" fillId="0" borderId="0" xfId="0" applyFont="1" applyAlignment="1">
      <alignment horizontal="right" vertical="center" wrapText="1" readingOrder="2"/>
    </xf>
    <xf numFmtId="0" fontId="7" fillId="0" borderId="0" xfId="0" applyFont="1"/>
    <xf numFmtId="0" fontId="0" fillId="0" borderId="30" xfId="0" applyFill="1" applyBorder="1"/>
    <xf numFmtId="0" fontId="0" fillId="0" borderId="0" xfId="0" applyFill="1"/>
    <xf numFmtId="0" fontId="10" fillId="0" borderId="31" xfId="0" applyFont="1" applyFill="1" applyBorder="1" applyAlignment="1">
      <alignment horizontal="center" vertical="center" wrapText="1"/>
    </xf>
    <xf numFmtId="0" fontId="3" fillId="0" borderId="0" xfId="0" applyFont="1"/>
    <xf numFmtId="0" fontId="8" fillId="0" borderId="0" xfId="0" applyFont="1" applyFill="1" applyAlignment="1">
      <alignment vertical="center" wrapText="1" readingOrder="2"/>
    </xf>
    <xf numFmtId="0" fontId="9" fillId="0" borderId="0" xfId="0" applyFont="1" applyAlignment="1">
      <alignment vertical="center" wrapText="1" readingOrder="2"/>
    </xf>
    <xf numFmtId="0" fontId="8" fillId="0" borderId="0" xfId="0" applyFont="1" applyAlignment="1">
      <alignment vertical="center" wrapText="1" readingOrder="2"/>
    </xf>
    <xf numFmtId="0" fontId="9" fillId="0" borderId="0" xfId="0" applyFont="1" applyFill="1" applyAlignment="1">
      <alignment vertical="center" wrapText="1" readingOrder="2"/>
    </xf>
    <xf numFmtId="0" fontId="11" fillId="0" borderId="0" xfId="0" applyFont="1" applyAlignment="1">
      <alignment horizontal="center" vertical="center" wrapText="1" readingOrder="2"/>
    </xf>
    <xf numFmtId="0" fontId="7" fillId="2" borderId="32" xfId="0" applyFont="1" applyFill="1" applyBorder="1" applyAlignment="1">
      <alignment horizontal="center" vertical="center" wrapText="1"/>
    </xf>
    <xf numFmtId="0" fontId="12" fillId="2" borderId="33" xfId="0" applyFont="1" applyFill="1" applyBorder="1" applyAlignment="1">
      <alignment horizontal="center" vertical="center" wrapText="1" readingOrder="2"/>
    </xf>
    <xf numFmtId="0" fontId="7" fillId="2" borderId="30" xfId="0" applyFont="1" applyFill="1" applyBorder="1" applyAlignment="1">
      <alignment horizontal="center" vertical="center" wrapText="1" readingOrder="2"/>
    </xf>
    <xf numFmtId="0" fontId="12" fillId="2" borderId="30" xfId="0" applyFont="1" applyFill="1" applyBorder="1" applyAlignment="1">
      <alignment horizontal="center" vertical="center" wrapText="1" readingOrder="2"/>
    </xf>
    <xf numFmtId="1" fontId="4" fillId="0" borderId="0" xfId="0" applyNumberFormat="1" applyFont="1" applyBorder="1" applyAlignment="1">
      <alignment horizontal="right"/>
    </xf>
    <xf numFmtId="1" fontId="4" fillId="0" borderId="0" xfId="0" applyNumberFormat="1" applyFont="1" applyBorder="1" applyAlignment="1"/>
    <xf numFmtId="3" fontId="3" fillId="0" borderId="0" xfId="0" applyNumberFormat="1" applyFont="1"/>
    <xf numFmtId="3" fontId="13" fillId="0" borderId="0" xfId="0" applyNumberFormat="1" applyFont="1"/>
    <xf numFmtId="0" fontId="4" fillId="0" borderId="1" xfId="0" applyFont="1" applyBorder="1" applyAlignment="1">
      <alignment horizontal="right" vertical="center" wrapText="1"/>
    </xf>
    <xf numFmtId="0" fontId="4" fillId="0" borderId="2" xfId="0" applyFont="1" applyBorder="1" applyAlignment="1">
      <alignment vertical="center" wrapText="1"/>
    </xf>
    <xf numFmtId="1" fontId="3" fillId="0" borderId="2" xfId="0" applyNumberFormat="1" applyFont="1" applyBorder="1" applyAlignment="1">
      <alignment horizontal="center" vertical="center"/>
    </xf>
    <xf numFmtId="1" fontId="3" fillId="0" borderId="3" xfId="0" applyNumberFormat="1" applyFont="1" applyBorder="1" applyAlignment="1">
      <alignment horizontal="center" vertical="center"/>
    </xf>
    <xf numFmtId="0" fontId="4" fillId="0" borderId="1" xfId="0" applyNumberFormat="1" applyFont="1" applyBorder="1" applyAlignment="1">
      <alignment horizontal="right" vertical="center"/>
    </xf>
    <xf numFmtId="0" fontId="4" fillId="0" borderId="4" xfId="0" applyNumberFormat="1" applyFont="1" applyBorder="1" applyAlignment="1">
      <alignment horizontal="right" vertical="center"/>
    </xf>
    <xf numFmtId="1" fontId="4" fillId="0" borderId="5" xfId="0" applyNumberFormat="1" applyFont="1" applyBorder="1" applyAlignment="1">
      <alignment horizontal="right" vertical="center"/>
    </xf>
    <xf numFmtId="1" fontId="3" fillId="0" borderId="5" xfId="0" applyNumberFormat="1" applyFont="1" applyBorder="1" applyAlignment="1">
      <alignment horizontal="center" vertical="center"/>
    </xf>
    <xf numFmtId="1" fontId="3" fillId="0" borderId="6" xfId="0" applyNumberFormat="1" applyFont="1" applyBorder="1" applyAlignment="1">
      <alignment horizontal="center" vertical="center"/>
    </xf>
    <xf numFmtId="1" fontId="3" fillId="0" borderId="7" xfId="0" applyNumberFormat="1" applyFont="1" applyBorder="1" applyAlignment="1">
      <alignment horizontal="center" vertical="center"/>
    </xf>
    <xf numFmtId="3" fontId="3" fillId="0" borderId="0" xfId="0" applyNumberFormat="1" applyFont="1" applyAlignment="1">
      <alignment horizontal="left"/>
    </xf>
    <xf numFmtId="1" fontId="13" fillId="0" borderId="0" xfId="0" applyNumberFormat="1" applyFont="1" applyBorder="1" applyAlignment="1">
      <alignment horizontal="right"/>
    </xf>
    <xf numFmtId="0" fontId="4" fillId="0" borderId="0" xfId="0" applyFont="1" applyBorder="1" applyAlignment="1">
      <alignment vertical="center" wrapText="1"/>
    </xf>
    <xf numFmtId="0" fontId="4" fillId="0" borderId="1" xfId="0" applyFont="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2" xfId="0" applyFont="1" applyFill="1" applyBorder="1" applyAlignment="1">
      <alignment vertical="center"/>
    </xf>
    <xf numFmtId="0" fontId="4"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5" xfId="0" applyFont="1" applyFill="1" applyBorder="1" applyAlignment="1">
      <alignment vertical="center"/>
    </xf>
    <xf numFmtId="1" fontId="4" fillId="0" borderId="8" xfId="0" applyNumberFormat="1" applyFont="1" applyBorder="1" applyAlignment="1">
      <alignment vertical="center"/>
    </xf>
    <xf numFmtId="3" fontId="3" fillId="0" borderId="2" xfId="0" applyNumberFormat="1" applyFont="1" applyBorder="1" applyAlignment="1">
      <alignment vertical="center"/>
    </xf>
    <xf numFmtId="3" fontId="3" fillId="0" borderId="3" xfId="0" applyNumberFormat="1" applyFont="1" applyBorder="1" applyAlignment="1">
      <alignment vertical="center"/>
    </xf>
    <xf numFmtId="3" fontId="3" fillId="0" borderId="9" xfId="0" applyNumberFormat="1" applyFont="1" applyBorder="1" applyAlignment="1">
      <alignment vertical="center"/>
    </xf>
    <xf numFmtId="3" fontId="3" fillId="0" borderId="5" xfId="0" applyNumberFormat="1" applyFont="1" applyBorder="1" applyAlignment="1">
      <alignment vertical="center"/>
    </xf>
    <xf numFmtId="3" fontId="3" fillId="0" borderId="6" xfId="0" applyNumberFormat="1" applyFont="1" applyBorder="1" applyAlignment="1">
      <alignment vertical="center"/>
    </xf>
    <xf numFmtId="3" fontId="3" fillId="0" borderId="7" xfId="0" applyNumberFormat="1" applyFont="1" applyBorder="1" applyAlignment="1">
      <alignment vertical="center"/>
    </xf>
    <xf numFmtId="0" fontId="4" fillId="0" borderId="1" xfId="0" applyFont="1" applyBorder="1" applyAlignment="1">
      <alignment horizontal="center" vertical="center"/>
    </xf>
    <xf numFmtId="0" fontId="4" fillId="0" borderId="10" xfId="0" applyFont="1" applyBorder="1" applyAlignment="1">
      <alignment vertical="center" wrapText="1"/>
    </xf>
    <xf numFmtId="175" fontId="3" fillId="0" borderId="2" xfId="1" applyNumberFormat="1" applyFont="1" applyBorder="1" applyAlignment="1">
      <alignment vertical="center"/>
    </xf>
    <xf numFmtId="175" fontId="3" fillId="0" borderId="3" xfId="1" applyNumberFormat="1" applyFont="1" applyBorder="1" applyAlignment="1">
      <alignment vertical="center"/>
    </xf>
    <xf numFmtId="175" fontId="3" fillId="0" borderId="9" xfId="1" applyNumberFormat="1" applyFont="1" applyBorder="1" applyAlignment="1">
      <alignment vertical="center"/>
    </xf>
    <xf numFmtId="0" fontId="4" fillId="0" borderId="10" xfId="0" applyFont="1" applyBorder="1" applyAlignment="1">
      <alignment vertical="center"/>
    </xf>
    <xf numFmtId="0" fontId="4" fillId="0" borderId="8" xfId="0" applyNumberFormat="1" applyFont="1" applyBorder="1" applyAlignment="1">
      <alignment horizontal="right" vertical="center"/>
    </xf>
    <xf numFmtId="0" fontId="4" fillId="0" borderId="11" xfId="0" applyFont="1" applyBorder="1" applyAlignment="1">
      <alignment vertical="center"/>
    </xf>
    <xf numFmtId="175" fontId="3" fillId="0" borderId="5" xfId="1" applyNumberFormat="1" applyFont="1" applyBorder="1" applyAlignment="1">
      <alignment vertical="center"/>
    </xf>
    <xf numFmtId="175" fontId="3" fillId="0" borderId="6" xfId="1" applyNumberFormat="1" applyFont="1" applyBorder="1" applyAlignment="1">
      <alignment vertical="center"/>
    </xf>
    <xf numFmtId="175" fontId="3" fillId="0" borderId="7" xfId="1" applyNumberFormat="1" applyFont="1" applyBorder="1" applyAlignment="1">
      <alignment vertical="center"/>
    </xf>
    <xf numFmtId="1" fontId="4" fillId="0" borderId="1" xfId="0" applyNumberFormat="1" applyFont="1" applyBorder="1" applyAlignment="1">
      <alignment horizontal="right" vertical="center"/>
    </xf>
    <xf numFmtId="175" fontId="3" fillId="0" borderId="12" xfId="1" applyNumberFormat="1" applyFont="1" applyBorder="1" applyAlignment="1">
      <alignment vertical="center"/>
    </xf>
    <xf numFmtId="1" fontId="4" fillId="0" borderId="0" xfId="0" applyNumberFormat="1" applyFont="1" applyAlignment="1"/>
    <xf numFmtId="1" fontId="4" fillId="0" borderId="0" xfId="0" applyNumberFormat="1" applyFont="1"/>
    <xf numFmtId="0" fontId="4" fillId="0" borderId="2" xfId="0" applyFont="1" applyBorder="1" applyAlignment="1">
      <alignment horizontal="right" vertical="center"/>
    </xf>
    <xf numFmtId="0" fontId="4" fillId="0" borderId="2" xfId="0" applyFont="1" applyBorder="1" applyAlignment="1">
      <alignment horizontal="center" vertical="center" wrapText="1"/>
    </xf>
    <xf numFmtId="0" fontId="4" fillId="0" borderId="9" xfId="0" applyFont="1" applyBorder="1" applyAlignment="1">
      <alignment horizontal="center" vertical="center" wrapText="1"/>
    </xf>
    <xf numFmtId="1" fontId="3" fillId="0" borderId="9" xfId="0" applyNumberFormat="1" applyFont="1" applyBorder="1" applyAlignment="1">
      <alignment horizontal="center" vertical="center"/>
    </xf>
    <xf numFmtId="0" fontId="4" fillId="2" borderId="2" xfId="0" applyFont="1" applyFill="1" applyBorder="1" applyAlignment="1">
      <alignment horizontal="center" vertical="center" readingOrder="2"/>
    </xf>
    <xf numFmtId="0" fontId="4" fillId="2" borderId="3" xfId="0" applyFont="1" applyFill="1" applyBorder="1" applyAlignment="1">
      <alignment horizontal="center" vertical="center" readingOrder="2"/>
    </xf>
    <xf numFmtId="0" fontId="4" fillId="2" borderId="12" xfId="0" applyFont="1" applyFill="1" applyBorder="1" applyAlignment="1">
      <alignment horizontal="center" vertical="center" readingOrder="2"/>
    </xf>
    <xf numFmtId="1" fontId="4" fillId="0" borderId="1" xfId="0" applyNumberFormat="1" applyFont="1" applyBorder="1" applyAlignment="1">
      <alignment horizontal="right" vertical="center" readingOrder="2"/>
    </xf>
    <xf numFmtId="0" fontId="4" fillId="0" borderId="1" xfId="0" applyNumberFormat="1" applyFont="1" applyBorder="1" applyAlignment="1">
      <alignment horizontal="right" vertical="center" readingOrder="2"/>
    </xf>
    <xf numFmtId="0" fontId="4" fillId="0" borderId="4" xfId="0" applyNumberFormat="1" applyFont="1" applyBorder="1" applyAlignment="1">
      <alignment horizontal="right" vertical="center" readingOrder="2"/>
    </xf>
    <xf numFmtId="3" fontId="3" fillId="0" borderId="0" xfId="0" applyNumberFormat="1" applyFont="1" applyAlignment="1">
      <alignment readingOrder="2"/>
    </xf>
    <xf numFmtId="1" fontId="3" fillId="0" borderId="0" xfId="0" applyNumberFormat="1" applyFont="1"/>
    <xf numFmtId="1" fontId="4" fillId="2" borderId="2" xfId="0" applyNumberFormat="1" applyFont="1" applyFill="1" applyBorder="1" applyAlignment="1">
      <alignment horizontal="center" vertical="center" readingOrder="2"/>
    </xf>
    <xf numFmtId="1" fontId="4" fillId="2" borderId="3" xfId="0" applyNumberFormat="1" applyFont="1" applyFill="1" applyBorder="1" applyAlignment="1">
      <alignment horizontal="center" vertical="center" readingOrder="2"/>
    </xf>
    <xf numFmtId="1" fontId="4" fillId="2" borderId="12" xfId="0" applyNumberFormat="1" applyFont="1" applyFill="1" applyBorder="1" applyAlignment="1">
      <alignment horizontal="center" vertical="center" readingOrder="2"/>
    </xf>
    <xf numFmtId="1" fontId="4" fillId="0" borderId="1" xfId="0" applyNumberFormat="1" applyFont="1" applyBorder="1" applyAlignment="1">
      <alignment vertical="center" readingOrder="2"/>
    </xf>
    <xf numFmtId="0" fontId="4" fillId="2" borderId="9" xfId="0" applyFont="1" applyFill="1" applyBorder="1" applyAlignment="1">
      <alignment horizontal="center" vertical="center" readingOrder="2"/>
    </xf>
    <xf numFmtId="0" fontId="4" fillId="2" borderId="10" xfId="0" applyFont="1" applyFill="1" applyBorder="1" applyAlignment="1">
      <alignment horizontal="center" vertical="center" readingOrder="2"/>
    </xf>
    <xf numFmtId="175" fontId="3" fillId="0" borderId="0" xfId="0" applyNumberFormat="1" applyFont="1"/>
    <xf numFmtId="0" fontId="4" fillId="0" borderId="1" xfId="0" applyFont="1" applyBorder="1" applyAlignment="1">
      <alignment horizontal="right" vertical="center" readingOrder="2"/>
    </xf>
    <xf numFmtId="175" fontId="3" fillId="0" borderId="10" xfId="1" applyNumberFormat="1" applyFont="1" applyBorder="1" applyAlignment="1">
      <alignment vertical="center"/>
    </xf>
    <xf numFmtId="175" fontId="3" fillId="0" borderId="0" xfId="1" applyNumberFormat="1" applyFont="1" applyFill="1" applyBorder="1" applyAlignment="1">
      <alignment vertical="center"/>
    </xf>
    <xf numFmtId="175" fontId="3" fillId="0" borderId="11" xfId="1" applyNumberFormat="1" applyFont="1" applyBorder="1" applyAlignment="1">
      <alignment vertical="center"/>
    </xf>
    <xf numFmtId="0" fontId="3" fillId="0" borderId="0" xfId="0" applyFont="1" applyAlignment="1">
      <alignment readingOrder="2"/>
    </xf>
    <xf numFmtId="0" fontId="4" fillId="0" borderId="1" xfId="0" applyFont="1" applyFill="1" applyBorder="1" applyAlignment="1">
      <alignment horizontal="right" vertical="center" readingOrder="2"/>
    </xf>
    <xf numFmtId="0" fontId="4" fillId="0" borderId="10" xfId="0" applyFont="1" applyFill="1" applyBorder="1" applyAlignment="1">
      <alignment horizontal="right" vertical="center"/>
    </xf>
    <xf numFmtId="0" fontId="4" fillId="0" borderId="0" xfId="0" applyFont="1"/>
    <xf numFmtId="0" fontId="4" fillId="3" borderId="2" xfId="0" applyFont="1" applyFill="1" applyBorder="1"/>
    <xf numFmtId="0" fontId="4" fillId="3" borderId="2" xfId="0" applyFont="1" applyFill="1" applyBorder="1" applyAlignment="1">
      <alignment horizontal="right"/>
    </xf>
    <xf numFmtId="0" fontId="4" fillId="0" borderId="0" xfId="0" applyFont="1" applyAlignment="1">
      <alignment horizontal="right"/>
    </xf>
    <xf numFmtId="1" fontId="4" fillId="3" borderId="2" xfId="0" applyNumberFormat="1" applyFont="1" applyFill="1" applyBorder="1" applyAlignment="1">
      <alignment horizontal="right"/>
    </xf>
    <xf numFmtId="0" fontId="4" fillId="0" borderId="2" xfId="0" applyFont="1" applyBorder="1" applyAlignment="1">
      <alignment vertical="center"/>
    </xf>
    <xf numFmtId="0" fontId="4" fillId="0" borderId="3" xfId="0" applyFont="1" applyBorder="1" applyAlignment="1">
      <alignment vertical="center"/>
    </xf>
    <xf numFmtId="0" fontId="4" fillId="0" borderId="2" xfId="0" applyFont="1" applyFill="1" applyBorder="1" applyAlignment="1">
      <alignment vertical="center"/>
    </xf>
    <xf numFmtId="0" fontId="4" fillId="2" borderId="2" xfId="0" applyFont="1" applyFill="1" applyBorder="1" applyAlignment="1">
      <alignment horizontal="center" vertical="center" readingOrder="2"/>
    </xf>
    <xf numFmtId="1" fontId="6" fillId="3" borderId="2" xfId="2" applyNumberFormat="1" applyFont="1" applyFill="1" applyBorder="1" applyAlignment="1">
      <alignment horizontal="right"/>
    </xf>
    <xf numFmtId="0" fontId="5" fillId="3" borderId="3" xfId="0" applyFont="1" applyFill="1" applyBorder="1" applyAlignment="1">
      <alignment horizontal="center" vertical="center" readingOrder="2"/>
    </xf>
    <xf numFmtId="0" fontId="5" fillId="3" borderId="13" xfId="0" applyFont="1" applyFill="1" applyBorder="1" applyAlignment="1">
      <alignment horizontal="center" vertical="center" readingOrder="2"/>
    </xf>
    <xf numFmtId="0" fontId="5" fillId="3" borderId="10" xfId="0" applyFont="1" applyFill="1" applyBorder="1" applyAlignment="1">
      <alignment horizontal="center" vertical="center" readingOrder="2"/>
    </xf>
    <xf numFmtId="0" fontId="4" fillId="2" borderId="14"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2" xfId="0" applyFont="1" applyFill="1" applyBorder="1" applyAlignment="1">
      <alignment horizontal="center" vertical="center"/>
    </xf>
    <xf numFmtId="1" fontId="4" fillId="0" borderId="0" xfId="0" applyNumberFormat="1" applyFont="1" applyBorder="1" applyAlignment="1">
      <alignment horizontal="right"/>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xf>
    <xf numFmtId="1" fontId="4" fillId="0" borderId="22" xfId="0" applyNumberFormat="1" applyFont="1" applyBorder="1" applyAlignment="1">
      <alignment horizontal="right"/>
    </xf>
    <xf numFmtId="1" fontId="4" fillId="2" borderId="15" xfId="0" applyNumberFormat="1" applyFont="1" applyFill="1" applyBorder="1" applyAlignment="1">
      <alignment horizontal="center" vertical="center"/>
    </xf>
    <xf numFmtId="1" fontId="4" fillId="2" borderId="23" xfId="0" applyNumberFormat="1" applyFont="1" applyFill="1" applyBorder="1" applyAlignment="1">
      <alignment horizontal="center" vertical="center"/>
    </xf>
    <xf numFmtId="1" fontId="4" fillId="2" borderId="24" xfId="0" applyNumberFormat="1" applyFont="1" applyFill="1" applyBorder="1" applyAlignment="1">
      <alignment horizontal="center" vertical="center"/>
    </xf>
    <xf numFmtId="1" fontId="4" fillId="2" borderId="21" xfId="0" applyNumberFormat="1" applyFont="1" applyFill="1" applyBorder="1" applyAlignment="1">
      <alignment horizontal="center" vertical="center"/>
    </xf>
    <xf numFmtId="1" fontId="4" fillId="2" borderId="8" xfId="0" applyNumberFormat="1" applyFont="1" applyFill="1" applyBorder="1" applyAlignment="1">
      <alignment horizontal="center" vertical="center"/>
    </xf>
    <xf numFmtId="1" fontId="4" fillId="2" borderId="19" xfId="0" applyNumberFormat="1" applyFont="1" applyFill="1" applyBorder="1" applyAlignment="1">
      <alignment horizontal="center" vertical="center"/>
    </xf>
    <xf numFmtId="1" fontId="4" fillId="2" borderId="20" xfId="0" applyNumberFormat="1" applyFont="1" applyFill="1" applyBorder="1" applyAlignment="1">
      <alignment horizontal="center" vertical="center"/>
    </xf>
    <xf numFmtId="1" fontId="4" fillId="2" borderId="25" xfId="0" applyNumberFormat="1" applyFont="1" applyFill="1" applyBorder="1" applyAlignment="1">
      <alignment horizontal="center" vertical="center"/>
    </xf>
    <xf numFmtId="1" fontId="4" fillId="2" borderId="26" xfId="0" applyNumberFormat="1" applyFont="1" applyFill="1" applyBorder="1" applyAlignment="1">
      <alignment horizontal="center" vertical="center"/>
    </xf>
    <xf numFmtId="1" fontId="4" fillId="2" borderId="27" xfId="0" applyNumberFormat="1" applyFont="1" applyFill="1" applyBorder="1" applyAlignment="1">
      <alignment horizontal="center" vertical="center"/>
    </xf>
    <xf numFmtId="1" fontId="4" fillId="0" borderId="0" xfId="0" applyNumberFormat="1" applyFont="1" applyAlignment="1">
      <alignment horizontal="right"/>
    </xf>
    <xf numFmtId="0" fontId="4" fillId="2" borderId="14" xfId="0" applyFont="1" applyFill="1" applyBorder="1" applyAlignment="1">
      <alignment horizontal="center" vertical="center" wrapText="1" readingOrder="2"/>
    </xf>
    <xf numFmtId="0" fontId="4" fillId="2" borderId="1" xfId="0" applyFont="1" applyFill="1" applyBorder="1" applyAlignment="1">
      <alignment horizontal="center" vertical="center" wrapText="1" readingOrder="2"/>
    </xf>
    <xf numFmtId="0" fontId="4" fillId="2" borderId="28" xfId="0" applyFont="1" applyFill="1" applyBorder="1" applyAlignment="1">
      <alignment horizontal="center" vertical="center" readingOrder="2"/>
    </xf>
    <xf numFmtId="0" fontId="4" fillId="2" borderId="2" xfId="0" applyFont="1" applyFill="1" applyBorder="1" applyAlignment="1">
      <alignment horizontal="center" vertical="center" readingOrder="2"/>
    </xf>
    <xf numFmtId="1" fontId="4" fillId="2" borderId="15" xfId="0" applyNumberFormat="1" applyFont="1" applyFill="1" applyBorder="1" applyAlignment="1">
      <alignment horizontal="center" vertical="center" readingOrder="2"/>
    </xf>
    <xf numFmtId="1" fontId="4" fillId="2" borderId="23" xfId="0" applyNumberFormat="1" applyFont="1" applyFill="1" applyBorder="1" applyAlignment="1">
      <alignment horizontal="center" vertical="center" readingOrder="2"/>
    </xf>
    <xf numFmtId="1" fontId="4" fillId="2" borderId="24" xfId="0" applyNumberFormat="1" applyFont="1" applyFill="1" applyBorder="1" applyAlignment="1">
      <alignment horizontal="center" vertical="center" readingOrder="2"/>
    </xf>
    <xf numFmtId="1" fontId="4" fillId="2" borderId="14" xfId="0" applyNumberFormat="1" applyFont="1" applyFill="1" applyBorder="1" applyAlignment="1">
      <alignment horizontal="center" vertical="center" readingOrder="2"/>
    </xf>
    <xf numFmtId="1" fontId="4" fillId="2" borderId="1" xfId="0" applyNumberFormat="1" applyFont="1" applyFill="1" applyBorder="1" applyAlignment="1">
      <alignment horizontal="center" vertical="center" readingOrder="2"/>
    </xf>
    <xf numFmtId="1" fontId="4" fillId="2" borderId="28" xfId="0" applyNumberFormat="1" applyFont="1" applyFill="1" applyBorder="1" applyAlignment="1">
      <alignment horizontal="center" vertical="center" readingOrder="2"/>
    </xf>
    <xf numFmtId="1" fontId="4" fillId="2" borderId="2" xfId="0" applyNumberFormat="1" applyFont="1" applyFill="1" applyBorder="1" applyAlignment="1">
      <alignment horizontal="center" vertical="center" readingOrder="2"/>
    </xf>
    <xf numFmtId="0" fontId="4" fillId="2" borderId="15" xfId="0" applyFont="1" applyFill="1" applyBorder="1" applyAlignment="1">
      <alignment horizontal="center" vertical="center" wrapText="1" readingOrder="2"/>
    </xf>
    <xf numFmtId="0" fontId="4" fillId="2" borderId="23" xfId="0" applyFont="1" applyFill="1" applyBorder="1" applyAlignment="1">
      <alignment horizontal="center" vertical="center" wrapText="1" readingOrder="2"/>
    </xf>
    <xf numFmtId="0" fontId="4" fillId="2" borderId="24" xfId="0" applyFont="1" applyFill="1" applyBorder="1" applyAlignment="1">
      <alignment horizontal="center" vertical="center" wrapText="1" readingOrder="2"/>
    </xf>
    <xf numFmtId="0" fontId="4" fillId="2" borderId="26" xfId="0" applyFont="1" applyFill="1" applyBorder="1" applyAlignment="1">
      <alignment horizontal="center" vertical="center" readingOrder="2"/>
    </xf>
    <xf numFmtId="0" fontId="4" fillId="2" borderId="27" xfId="0" applyFont="1" applyFill="1" applyBorder="1" applyAlignment="1">
      <alignment horizontal="center" vertical="center" readingOrder="2"/>
    </xf>
    <xf numFmtId="0" fontId="4" fillId="2" borderId="14" xfId="0" applyFont="1" applyFill="1" applyBorder="1" applyAlignment="1">
      <alignment horizontal="center" vertical="center" readingOrder="2"/>
    </xf>
    <xf numFmtId="0" fontId="4" fillId="2" borderId="1" xfId="0" applyFont="1" applyFill="1" applyBorder="1" applyAlignment="1">
      <alignment horizontal="center" vertical="center" readingOrder="2"/>
    </xf>
    <xf numFmtId="0" fontId="4" fillId="2" borderId="29" xfId="0" applyFont="1" applyFill="1" applyBorder="1" applyAlignment="1">
      <alignment horizontal="center" vertical="center" readingOrder="2"/>
    </xf>
    <xf numFmtId="0" fontId="4" fillId="2" borderId="10" xfId="0" applyFont="1" applyFill="1" applyBorder="1" applyAlignment="1">
      <alignment horizontal="center" vertical="center" readingOrder="2"/>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3619500</xdr:colOff>
      <xdr:row>0</xdr:row>
      <xdr:rowOff>114299</xdr:rowOff>
    </xdr:from>
    <xdr:to>
      <xdr:col>0</xdr:col>
      <xdr:colOff>5267325</xdr:colOff>
      <xdr:row>0</xdr:row>
      <xdr:rowOff>1209674</xdr:rowOff>
    </xdr:to>
    <xdr:sp macro="" textlink="">
      <xdr:nvSpPr>
        <xdr:cNvPr id="2" name="TextBox 1">
          <a:extLst>
            <a:ext uri="{FF2B5EF4-FFF2-40B4-BE49-F238E27FC236}">
              <a16:creationId xmlns:a16="http://schemas.microsoft.com/office/drawing/2014/main" id="{A05BF8B5-A804-B13F-E9F5-5526339E6E9A}"/>
            </a:ext>
          </a:extLst>
        </xdr:cNvPr>
        <xdr:cNvSpPr txBox="1"/>
      </xdr:nvSpPr>
      <xdr:spPr>
        <a:xfrm>
          <a:off x="156419550" y="114299"/>
          <a:ext cx="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ar-SA" sz="1100" b="1">
              <a:solidFill>
                <a:schemeClr val="dk1"/>
              </a:solidFill>
              <a:effectLst/>
              <a:latin typeface="+mn-lt"/>
              <a:ea typeface="+mn-ea"/>
              <a:cs typeface="B Nazanin" panose="00000400000000000000" pitchFamily="2" charset="-78"/>
            </a:rPr>
            <a:t>رياست جمهوري</a:t>
          </a:r>
          <a:endParaRPr lang="en-US" sz="1100">
            <a:solidFill>
              <a:schemeClr val="dk1"/>
            </a:solidFill>
            <a:effectLst/>
            <a:latin typeface="+mn-lt"/>
            <a:ea typeface="+mn-ea"/>
            <a:cs typeface="B Nazanin" panose="00000400000000000000" pitchFamily="2" charset="-78"/>
          </a:endParaRPr>
        </a:p>
        <a:p>
          <a:pPr algn="ctr" rtl="1"/>
          <a:r>
            <a:rPr lang="ar-SA" sz="1100" b="1">
              <a:solidFill>
                <a:schemeClr val="dk1"/>
              </a:solidFill>
              <a:effectLst/>
              <a:latin typeface="+mn-lt"/>
              <a:ea typeface="+mn-ea"/>
              <a:cs typeface="B Nazanin" panose="00000400000000000000" pitchFamily="2" charset="-78"/>
            </a:rPr>
            <a:t>سازمان برنامه و بودجه کشور</a:t>
          </a:r>
          <a:endParaRPr lang="en-US" sz="1100">
            <a:solidFill>
              <a:schemeClr val="dk1"/>
            </a:solidFill>
            <a:effectLst/>
            <a:latin typeface="+mn-lt"/>
            <a:ea typeface="+mn-ea"/>
            <a:cs typeface="B Nazanin" panose="00000400000000000000" pitchFamily="2" charset="-78"/>
          </a:endParaRPr>
        </a:p>
        <a:p>
          <a:pPr algn="ctr" rtl="1"/>
          <a:r>
            <a:rPr lang="ar-SA" sz="1100" b="1">
              <a:solidFill>
                <a:schemeClr val="dk1"/>
              </a:solidFill>
              <a:effectLst/>
              <a:latin typeface="+mn-lt"/>
              <a:ea typeface="+mn-ea"/>
              <a:cs typeface="B Nazanin" panose="00000400000000000000" pitchFamily="2" charset="-78"/>
            </a:rPr>
            <a:t>مـركـز آمـار ايـران</a:t>
          </a:r>
          <a:endParaRPr lang="en-US" sz="1100" b="1">
            <a:solidFill>
              <a:schemeClr val="dk1"/>
            </a:solidFill>
            <a:effectLst/>
            <a:latin typeface="+mn-lt"/>
            <a:ea typeface="+mn-ea"/>
            <a:cs typeface="B Nazanin" panose="00000400000000000000" pitchFamily="2" charset="-78"/>
          </a:endParaRPr>
        </a:p>
        <a:p>
          <a:pPr algn="ctr" rtl="1"/>
          <a:r>
            <a:rPr lang="fa-IR" sz="1100" b="1">
              <a:solidFill>
                <a:schemeClr val="dk1"/>
              </a:solidFill>
              <a:effectLst/>
              <a:latin typeface="+mn-lt"/>
              <a:ea typeface="+mn-ea"/>
              <a:cs typeface="B Nazanin" panose="00000400000000000000" pitchFamily="2" charset="-78"/>
            </a:rPr>
            <a:t>دفتر</a:t>
          </a:r>
          <a:r>
            <a:rPr lang="fa-IR" sz="1100" b="1" baseline="0">
              <a:solidFill>
                <a:schemeClr val="dk1"/>
              </a:solidFill>
              <a:effectLst/>
              <a:latin typeface="+mn-lt"/>
              <a:ea typeface="+mn-ea"/>
              <a:cs typeface="B Nazanin" panose="00000400000000000000" pitchFamily="2" charset="-78"/>
            </a:rPr>
            <a:t> صنعت، معدن و زیربنایی</a:t>
          </a:r>
          <a:endParaRPr lang="en-US" sz="1100" b="1">
            <a:solidFill>
              <a:schemeClr val="dk1"/>
            </a:solidFill>
            <a:effectLst/>
            <a:latin typeface="+mn-lt"/>
            <a:ea typeface="+mn-ea"/>
            <a:cs typeface="B Nazanin" panose="00000400000000000000" pitchFamily="2" charset="-78"/>
          </a:endParaRPr>
        </a:p>
        <a:p>
          <a:pPr algn="ctr" rtl="1"/>
          <a:endParaRPr lang="fa-IR" sz="1100">
            <a:cs typeface="B Nazanin" panose="00000400000000000000" pitchFamily="2" charset="-7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_noorini/Downloads/&#1608;&#1740;&#1688;&#1711;&#1740;&#1607;&#1575;%20&#1605;&#1581;&#1740;&#1591;%20&#1586;&#1740;&#1587;&#1578;&#1740;%20&#1705;&#1575;&#1585;&#1711;&#1575;&#1607;%20&#1607;&#1575;&#1740;%20&#1589;&#1606;&#1593;&#1578;&#1740;%2010%20&#1606;&#1601;&#1585;%20&#1705;&#1575;&#1585;&#1705;&#1606;%20&#1608;%20&#1576;&#1740;&#1588;&#1578;&#1585;%201394%20&#1608;%20139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فهرست"/>
      <sheetName val="توضیحات ضروری"/>
      <sheetName val="تعداد کارگاه آیسیک"/>
      <sheetName val="تعداد کارگاه استان"/>
      <sheetName val="آب مصرفی آیسیک"/>
      <sheetName val="آب مصرفی استان"/>
      <sheetName val="آب خریدار آیسیک"/>
      <sheetName val="آب خریداری استان"/>
      <sheetName val="فاضلاب آیسیک"/>
      <sheetName val="فاضلاب استان"/>
      <sheetName val="پسماند آیسیک"/>
      <sheetName val="پسماند استان"/>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5D45E-7619-43D6-9A48-304E5ECC004B}">
  <dimension ref="A2:L12"/>
  <sheetViews>
    <sheetView rightToLeft="1" workbookViewId="0">
      <selection activeCell="A12" sqref="A12:J12"/>
    </sheetView>
  </sheetViews>
  <sheetFormatPr defaultRowHeight="26.25" customHeight="1"/>
  <cols>
    <col min="1" max="9" width="9.140625" style="91"/>
    <col min="10" max="10" width="23.7109375" style="91" customWidth="1"/>
    <col min="11" max="16384" width="9.140625" style="91"/>
  </cols>
  <sheetData>
    <row r="2" spans="1:12" ht="30.75" customHeight="1">
      <c r="A2" s="101" t="s">
        <v>33</v>
      </c>
      <c r="B2" s="102"/>
      <c r="C2" s="102"/>
      <c r="D2" s="102"/>
      <c r="E2" s="102"/>
      <c r="F2" s="102"/>
      <c r="G2" s="102"/>
      <c r="H2" s="102"/>
      <c r="I2" s="102"/>
      <c r="J2" s="102"/>
      <c r="K2" s="102"/>
      <c r="L2" s="103"/>
    </row>
    <row r="3" spans="1:12" ht="26.25" customHeight="1">
      <c r="A3" s="100" t="s">
        <v>99</v>
      </c>
      <c r="B3" s="100"/>
      <c r="C3" s="100"/>
      <c r="D3" s="100"/>
      <c r="E3" s="100"/>
      <c r="F3" s="100"/>
      <c r="G3" s="100"/>
      <c r="H3" s="100"/>
      <c r="I3" s="100"/>
      <c r="J3" s="100"/>
      <c r="K3" s="92"/>
      <c r="L3" s="92"/>
    </row>
    <row r="4" spans="1:12" ht="26.25" customHeight="1">
      <c r="A4" s="100" t="s">
        <v>100</v>
      </c>
      <c r="B4" s="100"/>
      <c r="C4" s="100"/>
      <c r="D4" s="100"/>
      <c r="E4" s="100"/>
      <c r="F4" s="100"/>
      <c r="G4" s="100"/>
      <c r="H4" s="100"/>
      <c r="I4" s="100"/>
      <c r="J4" s="100"/>
      <c r="K4" s="100"/>
      <c r="L4" s="93"/>
    </row>
    <row r="5" spans="1:12" s="94" customFormat="1" ht="26.25" customHeight="1">
      <c r="A5" s="100" t="s">
        <v>112</v>
      </c>
      <c r="B5" s="100"/>
      <c r="C5" s="100"/>
      <c r="D5" s="100"/>
      <c r="E5" s="100"/>
      <c r="F5" s="100"/>
      <c r="G5" s="100"/>
      <c r="H5" s="100"/>
      <c r="I5" s="100"/>
      <c r="J5" s="100"/>
      <c r="K5" s="100"/>
      <c r="L5" s="93"/>
    </row>
    <row r="6" spans="1:12" s="94" customFormat="1" ht="26.25" customHeight="1">
      <c r="A6" s="100" t="s">
        <v>113</v>
      </c>
      <c r="B6" s="100"/>
      <c r="C6" s="100"/>
      <c r="D6" s="100"/>
      <c r="E6" s="100"/>
      <c r="F6" s="100"/>
      <c r="G6" s="100"/>
      <c r="H6" s="100"/>
      <c r="I6" s="100"/>
      <c r="J6" s="100"/>
      <c r="K6" s="93"/>
      <c r="L6" s="93"/>
    </row>
    <row r="7" spans="1:12" s="94" customFormat="1" ht="26.25" customHeight="1">
      <c r="A7" s="100" t="s">
        <v>114</v>
      </c>
      <c r="B7" s="100"/>
      <c r="C7" s="100"/>
      <c r="D7" s="100"/>
      <c r="E7" s="100"/>
      <c r="F7" s="100"/>
      <c r="G7" s="100"/>
      <c r="H7" s="100"/>
      <c r="I7" s="100"/>
      <c r="J7" s="100"/>
      <c r="K7" s="93"/>
      <c r="L7" s="93"/>
    </row>
    <row r="8" spans="1:12" s="94" customFormat="1" ht="26.25" customHeight="1">
      <c r="A8" s="100" t="s">
        <v>115</v>
      </c>
      <c r="B8" s="100"/>
      <c r="C8" s="100"/>
      <c r="D8" s="100"/>
      <c r="E8" s="100"/>
      <c r="F8" s="100"/>
      <c r="G8" s="100"/>
      <c r="H8" s="100"/>
      <c r="I8" s="100"/>
      <c r="J8" s="100"/>
      <c r="K8" s="93"/>
      <c r="L8" s="93"/>
    </row>
    <row r="9" spans="1:12" s="94" customFormat="1" ht="26.25" customHeight="1">
      <c r="A9" s="100" t="s">
        <v>116</v>
      </c>
      <c r="B9" s="100"/>
      <c r="C9" s="100"/>
      <c r="D9" s="100"/>
      <c r="E9" s="100"/>
      <c r="F9" s="100"/>
      <c r="G9" s="100"/>
      <c r="H9" s="100"/>
      <c r="I9" s="100"/>
      <c r="J9" s="100"/>
      <c r="K9" s="93"/>
      <c r="L9" s="93"/>
    </row>
    <row r="10" spans="1:12" s="94" customFormat="1" ht="26.25" customHeight="1">
      <c r="A10" s="100" t="s">
        <v>117</v>
      </c>
      <c r="B10" s="100"/>
      <c r="C10" s="100"/>
      <c r="D10" s="100"/>
      <c r="E10" s="100"/>
      <c r="F10" s="100"/>
      <c r="G10" s="100"/>
      <c r="H10" s="100"/>
      <c r="I10" s="100"/>
      <c r="J10" s="100"/>
      <c r="K10" s="93"/>
      <c r="L10" s="93"/>
    </row>
    <row r="11" spans="1:12" s="94" customFormat="1" ht="26.25" customHeight="1">
      <c r="A11" s="100" t="s">
        <v>118</v>
      </c>
      <c r="B11" s="100"/>
      <c r="C11" s="100"/>
      <c r="D11" s="100"/>
      <c r="E11" s="100"/>
      <c r="F11" s="100"/>
      <c r="G11" s="100"/>
      <c r="H11" s="100"/>
      <c r="I11" s="100"/>
      <c r="J11" s="100"/>
      <c r="K11" s="95"/>
      <c r="L11" s="93"/>
    </row>
    <row r="12" spans="1:12" s="94" customFormat="1" ht="26.25" customHeight="1">
      <c r="A12" s="100" t="s">
        <v>119</v>
      </c>
      <c r="B12" s="100"/>
      <c r="C12" s="100"/>
      <c r="D12" s="100"/>
      <c r="E12" s="100"/>
      <c r="F12" s="100"/>
      <c r="G12" s="100"/>
      <c r="H12" s="100"/>
      <c r="I12" s="100"/>
      <c r="J12" s="100"/>
      <c r="K12" s="93"/>
      <c r="L12" s="92"/>
    </row>
  </sheetData>
  <mergeCells count="11">
    <mergeCell ref="A2:L2"/>
    <mergeCell ref="A9:J9"/>
    <mergeCell ref="A10:J10"/>
    <mergeCell ref="A11:J11"/>
    <mergeCell ref="A12:J12"/>
    <mergeCell ref="A7:J7"/>
    <mergeCell ref="A8:J8"/>
    <mergeCell ref="A3:J3"/>
    <mergeCell ref="A4:K4"/>
    <mergeCell ref="A5:K5"/>
    <mergeCell ref="A6:J6"/>
  </mergeCells>
  <hyperlinks>
    <hyperlink ref="A4:K4" location="'تعداد کارگاه استان'!A1" display="جدول 2 -تعداد کارگاه های فعال صنعتی 10 نفر کارکن و بیشتر به تفکیک استان : 1394 و 1395" xr:uid="{DFAC9057-EC79-4B45-91FB-7C6844A6D2F7}"/>
    <hyperlink ref="A5:K5" location="'آب مصرفی آیسیک'!A1" display="جدول 3- مقدار آب مصرفی در کارگاه های صنعتی 10 نفر کارکن و بیش تر به تفکیک فعالیت: 1395-1394   " xr:uid="{82138494-FF42-428C-8A4E-505C7CAFE8D0}"/>
    <hyperlink ref="A6:J6" location="'آب مصرفی استان'!A1" display="جدول 4- مقدار آب مصرفی در کارگاه های صنعتی 10 نفر کارکن و بیش تر به تفکیک استان: 1395-1394" xr:uid="{FC6250C4-17DD-4BA5-9B94-FB43F07FC6A4}"/>
    <hyperlink ref="A7:J7" location="'آب خریداری آیسیک'!A1" display="جدول 5- مقدار آب خریداری شده در کارگاه‌های صنعتی 10 نفر کارکن و بیشتر به‌تفکیک فعالیت: 1394 تا 1399" xr:uid="{5CD2D5FA-A94A-4285-A5CD-F64CD7215C39}"/>
    <hyperlink ref="A8:J8" location="'آب خریداری استان'!A1" display="جدول 6-  مقدار آب خریداری شده در کارگاه های صنعتی 10 نفر کارکن و بیش تر به تفکیک استان: 1395-1394" xr:uid="{A5C46421-23AA-4F39-A530-F00A8466B29B}"/>
    <hyperlink ref="A9:J9" location="'فاضلاب آیسیک'!A1" display="جدول 7- مقدار فاضلاب صنعتی در کارگاه های صنعتی 10 نفر کارکن و بیش تر به تفکیک فعالیت: 1395-1394      " xr:uid="{A6BB3978-16F4-49D8-9D57-9FBA71614137}"/>
    <hyperlink ref="A10:J10" location="'فاضلاب استان'!A1" display="جدول 8- مقدار فاضلاب صنعتی در کارگاه های صنعتی 10 نفر کارکن و بیش تر به تفکیک استان: 1395-1394  " xr:uid="{4F180237-53B2-4036-8770-F9B518FE5FD6}"/>
    <hyperlink ref="A11:J11" location="'پسماند آیسیک'!A1" display="جدول 9- مقدار پسماند صنعتی جامد و مایع در کارگاه های صنعتی 10 نفر کارکن و بیش تر به تفکیک فعالیت: 1395-1394           " xr:uid="{585855EB-4709-42BE-89C7-2E3814D5427E}"/>
    <hyperlink ref="A12:J12" location="'پسماند استان '!A1" display="جدول 10- مقدار پسماند صنعتی جامد و مایع در کارگاه‌های صنعتی 10 نفر کارکن و بیشتر به‌تفکیک استان: 1394 تا 1399" xr:uid="{7742DAE5-6924-444C-9760-E1DC525BB64C}"/>
    <hyperlink ref="A3:J3" location="'تعداد کارگاه آیسیک'!A1" display="جدول 1 - تعداد کارگاه های فعال صنعتی 10 نفر کارکن و بیشتر به تفکیک فعالیت : 1394 و 1395" xr:uid="{7EEC1D99-F28A-4235-A393-EA73BDED9302}"/>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E3A90-6EDE-472C-9EFE-18C81EDE8150}">
  <dimension ref="A1:A35"/>
  <sheetViews>
    <sheetView rightToLeft="1" workbookViewId="0">
      <selection activeCell="A13" sqref="A13"/>
    </sheetView>
  </sheetViews>
  <sheetFormatPr defaultRowHeight="32.25" customHeight="1"/>
  <cols>
    <col min="1" max="1" width="130.28515625" style="8" customWidth="1"/>
    <col min="2" max="16384" width="9.140625" style="8"/>
  </cols>
  <sheetData>
    <row r="1" spans="1:1" s="1" customFormat="1" ht="44.25" customHeight="1">
      <c r="A1" s="13" t="s">
        <v>68</v>
      </c>
    </row>
    <row r="2" spans="1:1" s="1" customFormat="1" ht="32.25" customHeight="1">
      <c r="A2" s="9" t="s">
        <v>69</v>
      </c>
    </row>
    <row r="3" spans="1:1" s="1" customFormat="1" ht="32.25" customHeight="1">
      <c r="A3" s="10" t="s">
        <v>98</v>
      </c>
    </row>
    <row r="4" spans="1:1" s="1" customFormat="1" ht="32.25" customHeight="1">
      <c r="A4" s="9" t="s">
        <v>70</v>
      </c>
    </row>
    <row r="5" spans="1:1" s="1" customFormat="1" ht="32.25" customHeight="1">
      <c r="A5" s="10" t="s">
        <v>123</v>
      </c>
    </row>
    <row r="6" spans="1:1" s="4" customFormat="1" ht="32.25" customHeight="1">
      <c r="A6" s="9" t="s">
        <v>71</v>
      </c>
    </row>
    <row r="7" spans="1:1" s="4" customFormat="1" ht="32.25" customHeight="1">
      <c r="A7" s="10" t="s">
        <v>73</v>
      </c>
    </row>
    <row r="8" spans="1:1" s="4" customFormat="1" ht="32.25" customHeight="1">
      <c r="A8" s="9" t="s">
        <v>72</v>
      </c>
    </row>
    <row r="9" spans="1:1" s="4" customFormat="1" ht="32.25" customHeight="1">
      <c r="A9" s="10" t="s">
        <v>124</v>
      </c>
    </row>
    <row r="10" spans="1:1" s="4" customFormat="1" ht="32.25" customHeight="1">
      <c r="A10" s="9" t="s">
        <v>74</v>
      </c>
    </row>
    <row r="11" spans="1:1" s="3" customFormat="1" ht="32.25" customHeight="1">
      <c r="A11" s="10" t="s">
        <v>122</v>
      </c>
    </row>
    <row r="12" spans="1:1" s="4" customFormat="1" ht="32.25" customHeight="1">
      <c r="A12" s="9" t="s">
        <v>75</v>
      </c>
    </row>
    <row r="13" spans="1:1" s="3" customFormat="1" ht="32.25" customHeight="1">
      <c r="A13" s="10" t="s">
        <v>76</v>
      </c>
    </row>
    <row r="14" spans="1:1" s="3" customFormat="1" ht="32.25" customHeight="1">
      <c r="A14" s="11" t="s">
        <v>89</v>
      </c>
    </row>
    <row r="15" spans="1:1" s="3" customFormat="1" ht="32.25" customHeight="1">
      <c r="A15" s="10" t="s">
        <v>120</v>
      </c>
    </row>
    <row r="16" spans="1:1" s="3" customFormat="1" ht="32.25" customHeight="1">
      <c r="A16" s="11" t="s">
        <v>81</v>
      </c>
    </row>
    <row r="17" spans="1:1" s="3" customFormat="1" ht="59.25" customHeight="1">
      <c r="A17" s="12" t="s">
        <v>90</v>
      </c>
    </row>
    <row r="18" spans="1:1" s="1" customFormat="1" ht="32.25" customHeight="1">
      <c r="A18" s="9" t="s">
        <v>82</v>
      </c>
    </row>
    <row r="19" spans="1:1" s="1" customFormat="1" ht="32.25" customHeight="1">
      <c r="A19" s="12" t="s">
        <v>121</v>
      </c>
    </row>
    <row r="20" spans="1:1" s="1" customFormat="1" ht="32.25" customHeight="1">
      <c r="A20" s="11" t="s">
        <v>83</v>
      </c>
    </row>
    <row r="21" spans="1:1" s="1" customFormat="1" ht="32.25" customHeight="1">
      <c r="A21" s="10" t="s">
        <v>88</v>
      </c>
    </row>
    <row r="22" spans="1:1" s="4" customFormat="1" ht="32.25" customHeight="1">
      <c r="A22" s="11" t="s">
        <v>84</v>
      </c>
    </row>
    <row r="23" spans="1:1" s="3" customFormat="1" ht="32.25" customHeight="1">
      <c r="A23" s="10" t="s">
        <v>85</v>
      </c>
    </row>
    <row r="24" spans="1:1" s="4" customFormat="1" ht="32.25" customHeight="1">
      <c r="A24" s="11" t="s">
        <v>86</v>
      </c>
    </row>
    <row r="25" spans="1:1" s="10" customFormat="1" ht="32.25" customHeight="1">
      <c r="A25" s="10" t="s">
        <v>87</v>
      </c>
    </row>
    <row r="26" spans="1:1" s="4" customFormat="1" ht="32.25" customHeight="1">
      <c r="A26" s="11"/>
    </row>
    <row r="27" spans="1:1" s="10" customFormat="1" ht="32.25" customHeight="1">
      <c r="A27" s="3"/>
    </row>
    <row r="28" spans="1:1" ht="32.25" customHeight="1">
      <c r="A28" s="2"/>
    </row>
    <row r="29" spans="1:1" ht="32.25" customHeight="1">
      <c r="A29" s="3"/>
    </row>
    <row r="30" spans="1:1" ht="32.25" customHeight="1">
      <c r="A30" s="2"/>
    </row>
    <row r="31" spans="1:1" ht="32.25" customHeight="1">
      <c r="A31" s="3"/>
    </row>
    <row r="32" spans="1:1" ht="32.25" customHeight="1">
      <c r="A32" s="2"/>
    </row>
    <row r="33" spans="1:1" ht="32.25" customHeight="1">
      <c r="A33" s="3"/>
    </row>
    <row r="34" spans="1:1" ht="32.25" customHeight="1">
      <c r="A34" s="2"/>
    </row>
    <row r="35" spans="1:1" ht="32.25" customHeight="1">
      <c r="A35" s="3"/>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D3BA-61CC-4D09-B20E-DDD2B0C09CAC}">
  <dimension ref="A1:B16"/>
  <sheetViews>
    <sheetView rightToLeft="1" workbookViewId="0">
      <selection activeCell="C8" sqref="C8"/>
    </sheetView>
  </sheetViews>
  <sheetFormatPr defaultRowHeight="30" customHeight="1"/>
  <cols>
    <col min="2" max="2" width="81.7109375" customWidth="1"/>
  </cols>
  <sheetData>
    <row r="1" spans="1:2" ht="30" customHeight="1" thickTop="1">
      <c r="A1" s="5"/>
      <c r="B1" s="14"/>
    </row>
    <row r="2" spans="1:2" ht="30" customHeight="1">
      <c r="A2" s="5"/>
      <c r="B2" s="15" t="s">
        <v>77</v>
      </c>
    </row>
    <row r="3" spans="1:2" ht="30" customHeight="1">
      <c r="A3" s="5"/>
      <c r="B3" s="16" t="s">
        <v>78</v>
      </c>
    </row>
    <row r="4" spans="1:2" ht="30" customHeight="1">
      <c r="A4" s="5"/>
      <c r="B4" s="17" t="s">
        <v>79</v>
      </c>
    </row>
    <row r="5" spans="1:2" ht="30" customHeight="1">
      <c r="A5" s="5"/>
      <c r="B5" s="16" t="s">
        <v>127</v>
      </c>
    </row>
    <row r="6" spans="1:2" s="6" customFormat="1" ht="30" customHeight="1">
      <c r="A6" s="5"/>
      <c r="B6" s="17" t="s">
        <v>91</v>
      </c>
    </row>
    <row r="7" spans="1:2" s="6" customFormat="1" ht="30" customHeight="1">
      <c r="A7" s="5"/>
      <c r="B7" s="16" t="s">
        <v>92</v>
      </c>
    </row>
    <row r="8" spans="1:2" s="6" customFormat="1" ht="30" customHeight="1">
      <c r="A8" s="5"/>
      <c r="B8" s="17" t="s">
        <v>93</v>
      </c>
    </row>
    <row r="9" spans="1:2" s="6" customFormat="1" ht="30" customHeight="1">
      <c r="A9" s="5"/>
      <c r="B9" s="16" t="s">
        <v>94</v>
      </c>
    </row>
    <row r="10" spans="1:2" s="6" customFormat="1" ht="36.75" customHeight="1">
      <c r="A10" s="5"/>
      <c r="B10" s="16" t="s">
        <v>95</v>
      </c>
    </row>
    <row r="11" spans="1:2" s="6" customFormat="1" ht="30" customHeight="1">
      <c r="A11" s="5"/>
      <c r="B11" s="16" t="s">
        <v>96</v>
      </c>
    </row>
    <row r="12" spans="1:2" ht="30" customHeight="1">
      <c r="A12" s="5"/>
      <c r="B12" s="17" t="s">
        <v>80</v>
      </c>
    </row>
    <row r="13" spans="1:2" ht="30" customHeight="1">
      <c r="A13" s="5"/>
      <c r="B13" s="16" t="s">
        <v>125</v>
      </c>
    </row>
    <row r="14" spans="1:2" ht="30" customHeight="1">
      <c r="A14" s="5"/>
      <c r="B14" s="17" t="s">
        <v>49</v>
      </c>
    </row>
    <row r="15" spans="1:2" ht="30" customHeight="1" thickBot="1">
      <c r="A15" s="5"/>
      <c r="B15" s="16" t="s">
        <v>126</v>
      </c>
    </row>
    <row r="16" spans="1:2" ht="30" customHeight="1" thickTop="1">
      <c r="B16" s="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1701F-B1DD-4BCF-8DAE-61B2CD8556E7}">
  <dimension ref="A1:J46"/>
  <sheetViews>
    <sheetView rightToLeft="1" workbookViewId="0">
      <selection activeCell="C4" sqref="C4:H4"/>
    </sheetView>
  </sheetViews>
  <sheetFormatPr defaultRowHeight="28.5" customHeight="1"/>
  <cols>
    <col min="1" max="1" width="19" style="20" customWidth="1"/>
    <col min="2" max="2" width="53.7109375" style="20" customWidth="1"/>
    <col min="3" max="7" width="19" style="20" customWidth="1"/>
    <col min="8" max="8" width="17.7109375" style="20" customWidth="1"/>
    <col min="9" max="9" width="9.140625" style="20"/>
    <col min="10" max="10" width="13.140625" style="32" customWidth="1"/>
    <col min="11" max="16384" width="9.140625" style="20"/>
  </cols>
  <sheetData>
    <row r="1" spans="1:10" ht="28.5" customHeight="1">
      <c r="A1" s="108" t="s">
        <v>99</v>
      </c>
      <c r="B1" s="108"/>
      <c r="C1" s="108"/>
      <c r="D1" s="108"/>
      <c r="E1" s="108"/>
      <c r="F1" s="108"/>
      <c r="G1" s="19"/>
      <c r="H1" s="19"/>
      <c r="J1" s="20"/>
    </row>
    <row r="2" spans="1:10" ht="28.5" customHeight="1" thickBot="1">
      <c r="A2" s="21" t="s">
        <v>97</v>
      </c>
      <c r="B2" s="18"/>
      <c r="C2" s="18"/>
      <c r="D2" s="18"/>
      <c r="E2" s="18"/>
      <c r="F2" s="18"/>
      <c r="G2" s="19"/>
      <c r="H2" s="19"/>
      <c r="J2" s="20"/>
    </row>
    <row r="3" spans="1:10" ht="28.5" customHeight="1" thickBot="1">
      <c r="A3" s="104" t="s">
        <v>34</v>
      </c>
      <c r="B3" s="106" t="s">
        <v>35</v>
      </c>
      <c r="C3" s="109" t="s">
        <v>26</v>
      </c>
      <c r="D3" s="110"/>
      <c r="E3" s="110"/>
      <c r="F3" s="110"/>
      <c r="G3" s="110"/>
      <c r="H3" s="111"/>
      <c r="J3" s="20"/>
    </row>
    <row r="4" spans="1:10" ht="28.5" customHeight="1">
      <c r="A4" s="105"/>
      <c r="B4" s="107"/>
      <c r="C4" s="99">
        <v>1394</v>
      </c>
      <c r="D4" s="99">
        <v>1395</v>
      </c>
      <c r="E4" s="70">
        <v>1396</v>
      </c>
      <c r="F4" s="70">
        <v>1397</v>
      </c>
      <c r="G4" s="99">
        <v>1398</v>
      </c>
      <c r="H4" s="71">
        <v>1399</v>
      </c>
      <c r="J4" s="20"/>
    </row>
    <row r="5" spans="1:10" ht="28.5" customHeight="1">
      <c r="A5" s="22"/>
      <c r="B5" s="23" t="s">
        <v>36</v>
      </c>
      <c r="C5" s="66">
        <v>33461</v>
      </c>
      <c r="D5" s="66">
        <v>31309</v>
      </c>
      <c r="E5" s="66">
        <v>30332</v>
      </c>
      <c r="F5" s="66">
        <f>SUM(F6:F29)</f>
        <v>29170</v>
      </c>
      <c r="G5" s="66">
        <f>SUM(G6:G29)</f>
        <v>29148</v>
      </c>
      <c r="H5" s="67">
        <v>30400</v>
      </c>
      <c r="J5" s="20"/>
    </row>
    <row r="6" spans="1:10" ht="28.5" customHeight="1">
      <c r="A6" s="26">
        <v>10</v>
      </c>
      <c r="B6" s="23" t="s">
        <v>37</v>
      </c>
      <c r="C6" s="24">
        <v>6108</v>
      </c>
      <c r="D6" s="24">
        <v>5084</v>
      </c>
      <c r="E6" s="25">
        <v>4873</v>
      </c>
      <c r="F6" s="25">
        <v>5110</v>
      </c>
      <c r="G6" s="24">
        <v>5157</v>
      </c>
      <c r="H6" s="68">
        <v>5294</v>
      </c>
      <c r="J6" s="20"/>
    </row>
    <row r="7" spans="1:10" ht="28.5" customHeight="1">
      <c r="A7" s="26">
        <v>11</v>
      </c>
      <c r="B7" s="23" t="s">
        <v>38</v>
      </c>
      <c r="C7" s="24">
        <v>185</v>
      </c>
      <c r="D7" s="24">
        <v>174</v>
      </c>
      <c r="E7" s="25">
        <v>201</v>
      </c>
      <c r="F7" s="25">
        <v>193</v>
      </c>
      <c r="G7" s="24">
        <v>198</v>
      </c>
      <c r="H7" s="68">
        <v>180</v>
      </c>
      <c r="J7" s="20"/>
    </row>
    <row r="8" spans="1:10" ht="28.5" customHeight="1">
      <c r="A8" s="26">
        <v>12</v>
      </c>
      <c r="B8" s="23" t="s">
        <v>39</v>
      </c>
      <c r="C8" s="24">
        <v>18</v>
      </c>
      <c r="D8" s="24">
        <v>19</v>
      </c>
      <c r="E8" s="25">
        <v>17</v>
      </c>
      <c r="F8" s="25">
        <v>22</v>
      </c>
      <c r="G8" s="24">
        <v>20</v>
      </c>
      <c r="H8" s="68">
        <v>23</v>
      </c>
      <c r="J8" s="20"/>
    </row>
    <row r="9" spans="1:10" ht="28.5" customHeight="1">
      <c r="A9" s="26">
        <v>13</v>
      </c>
      <c r="B9" s="23" t="s">
        <v>40</v>
      </c>
      <c r="C9" s="24">
        <v>2020</v>
      </c>
      <c r="D9" s="24">
        <v>1794</v>
      </c>
      <c r="E9" s="25">
        <v>1992</v>
      </c>
      <c r="F9" s="25">
        <v>1866</v>
      </c>
      <c r="G9" s="24">
        <v>1625</v>
      </c>
      <c r="H9" s="68">
        <v>1871</v>
      </c>
      <c r="J9" s="20"/>
    </row>
    <row r="10" spans="1:10" ht="28.5" customHeight="1">
      <c r="A10" s="26">
        <v>14</v>
      </c>
      <c r="B10" s="23" t="s">
        <v>41</v>
      </c>
      <c r="C10" s="24">
        <v>674</v>
      </c>
      <c r="D10" s="24">
        <v>696</v>
      </c>
      <c r="E10" s="25">
        <v>457</v>
      </c>
      <c r="F10" s="25">
        <v>482</v>
      </c>
      <c r="G10" s="24">
        <v>402</v>
      </c>
      <c r="H10" s="68">
        <v>454</v>
      </c>
      <c r="J10" s="20"/>
    </row>
    <row r="11" spans="1:10" ht="28.5" customHeight="1">
      <c r="A11" s="26">
        <v>15</v>
      </c>
      <c r="B11" s="23" t="s">
        <v>50</v>
      </c>
      <c r="C11" s="24">
        <v>477</v>
      </c>
      <c r="D11" s="24">
        <v>466</v>
      </c>
      <c r="E11" s="25">
        <v>433</v>
      </c>
      <c r="F11" s="25">
        <v>363</v>
      </c>
      <c r="G11" s="24">
        <v>350</v>
      </c>
      <c r="H11" s="68">
        <v>334</v>
      </c>
      <c r="J11" s="20"/>
    </row>
    <row r="12" spans="1:10" ht="28.5" customHeight="1">
      <c r="A12" s="26">
        <v>16</v>
      </c>
      <c r="B12" s="23" t="s">
        <v>59</v>
      </c>
      <c r="C12" s="24">
        <v>467</v>
      </c>
      <c r="D12" s="24">
        <v>371</v>
      </c>
      <c r="E12" s="25">
        <v>570</v>
      </c>
      <c r="F12" s="25">
        <v>451</v>
      </c>
      <c r="G12" s="24">
        <v>381</v>
      </c>
      <c r="H12" s="68">
        <v>382</v>
      </c>
      <c r="J12" s="20"/>
    </row>
    <row r="13" spans="1:10" ht="28.5" customHeight="1">
      <c r="A13" s="26">
        <v>17</v>
      </c>
      <c r="B13" s="23" t="s">
        <v>51</v>
      </c>
      <c r="C13" s="24">
        <v>800</v>
      </c>
      <c r="D13" s="24">
        <v>820</v>
      </c>
      <c r="E13" s="25">
        <v>705</v>
      </c>
      <c r="F13" s="25">
        <v>679</v>
      </c>
      <c r="G13" s="24">
        <v>629</v>
      </c>
      <c r="H13" s="68">
        <v>715</v>
      </c>
      <c r="J13" s="20"/>
    </row>
    <row r="14" spans="1:10" ht="28.5" customHeight="1">
      <c r="A14" s="26">
        <v>18</v>
      </c>
      <c r="B14" s="23" t="s">
        <v>42</v>
      </c>
      <c r="C14" s="24">
        <v>604</v>
      </c>
      <c r="D14" s="24">
        <v>589</v>
      </c>
      <c r="E14" s="25">
        <v>672</v>
      </c>
      <c r="F14" s="25">
        <v>630</v>
      </c>
      <c r="G14" s="24">
        <v>523</v>
      </c>
      <c r="H14" s="68">
        <v>487</v>
      </c>
      <c r="J14" s="20"/>
    </row>
    <row r="15" spans="1:10" ht="28.5" customHeight="1">
      <c r="A15" s="26">
        <v>19</v>
      </c>
      <c r="B15" s="23" t="s">
        <v>52</v>
      </c>
      <c r="C15" s="24">
        <v>335</v>
      </c>
      <c r="D15" s="24">
        <v>323</v>
      </c>
      <c r="E15" s="25">
        <v>349</v>
      </c>
      <c r="F15" s="25">
        <v>345</v>
      </c>
      <c r="G15" s="24">
        <v>328</v>
      </c>
      <c r="H15" s="68">
        <v>351</v>
      </c>
      <c r="J15" s="20"/>
    </row>
    <row r="16" spans="1:10" ht="28.5" customHeight="1">
      <c r="A16" s="26">
        <v>20</v>
      </c>
      <c r="B16" s="23" t="s">
        <v>60</v>
      </c>
      <c r="C16" s="24">
        <v>1823</v>
      </c>
      <c r="D16" s="24">
        <v>1766</v>
      </c>
      <c r="E16" s="25">
        <v>1623</v>
      </c>
      <c r="F16" s="25">
        <v>1739</v>
      </c>
      <c r="G16" s="24">
        <v>1700</v>
      </c>
      <c r="H16" s="68">
        <v>1883</v>
      </c>
      <c r="J16" s="20"/>
    </row>
    <row r="17" spans="1:10" ht="28.5" customHeight="1">
      <c r="A17" s="26">
        <v>21</v>
      </c>
      <c r="B17" s="23" t="s">
        <v>61</v>
      </c>
      <c r="C17" s="24">
        <v>313</v>
      </c>
      <c r="D17" s="24">
        <v>349</v>
      </c>
      <c r="E17" s="25">
        <v>277</v>
      </c>
      <c r="F17" s="25">
        <v>310</v>
      </c>
      <c r="G17" s="24">
        <v>319</v>
      </c>
      <c r="H17" s="68">
        <v>347</v>
      </c>
      <c r="J17" s="20"/>
    </row>
    <row r="18" spans="1:10" ht="28.5" customHeight="1">
      <c r="A18" s="26">
        <v>22</v>
      </c>
      <c r="B18" s="23" t="s">
        <v>62</v>
      </c>
      <c r="C18" s="24">
        <v>2735</v>
      </c>
      <c r="D18" s="24">
        <v>2606</v>
      </c>
      <c r="E18" s="25">
        <v>2632</v>
      </c>
      <c r="F18" s="25">
        <v>2650</v>
      </c>
      <c r="G18" s="24">
        <v>2650</v>
      </c>
      <c r="H18" s="68">
        <v>2708</v>
      </c>
      <c r="J18" s="20"/>
    </row>
    <row r="19" spans="1:10" ht="28.5" customHeight="1">
      <c r="A19" s="26">
        <v>23</v>
      </c>
      <c r="B19" s="23" t="s">
        <v>63</v>
      </c>
      <c r="C19" s="24">
        <v>5580</v>
      </c>
      <c r="D19" s="24">
        <v>5737</v>
      </c>
      <c r="E19" s="25">
        <v>5313</v>
      </c>
      <c r="F19" s="25">
        <v>5207</v>
      </c>
      <c r="G19" s="24">
        <v>5353</v>
      </c>
      <c r="H19" s="68">
        <v>5329</v>
      </c>
      <c r="J19" s="20"/>
    </row>
    <row r="20" spans="1:10" ht="28.5" customHeight="1">
      <c r="A20" s="26">
        <v>24</v>
      </c>
      <c r="B20" s="23" t="s">
        <v>43</v>
      </c>
      <c r="C20" s="24">
        <v>1682</v>
      </c>
      <c r="D20" s="24">
        <v>1484</v>
      </c>
      <c r="E20" s="25">
        <v>1493</v>
      </c>
      <c r="F20" s="25">
        <v>1215</v>
      </c>
      <c r="G20" s="24">
        <v>1188</v>
      </c>
      <c r="H20" s="68">
        <v>1376</v>
      </c>
      <c r="J20" s="20"/>
    </row>
    <row r="21" spans="1:10" ht="28.5" customHeight="1">
      <c r="A21" s="26">
        <v>25</v>
      </c>
      <c r="B21" s="23" t="s">
        <v>53</v>
      </c>
      <c r="C21" s="24">
        <v>3312</v>
      </c>
      <c r="D21" s="24">
        <v>2695</v>
      </c>
      <c r="E21" s="25">
        <v>2532</v>
      </c>
      <c r="F21" s="25">
        <v>2383</v>
      </c>
      <c r="G21" s="24">
        <v>2594</v>
      </c>
      <c r="H21" s="68">
        <v>2584</v>
      </c>
      <c r="J21" s="20"/>
    </row>
    <row r="22" spans="1:10" ht="28.5" customHeight="1">
      <c r="A22" s="26">
        <v>26</v>
      </c>
      <c r="B22" s="23" t="s">
        <v>54</v>
      </c>
      <c r="C22" s="24">
        <v>418</v>
      </c>
      <c r="D22" s="24">
        <v>367</v>
      </c>
      <c r="E22" s="25">
        <v>442</v>
      </c>
      <c r="F22" s="25">
        <v>333</v>
      </c>
      <c r="G22" s="24">
        <v>365</v>
      </c>
      <c r="H22" s="68">
        <v>457</v>
      </c>
      <c r="J22" s="20"/>
    </row>
    <row r="23" spans="1:10" ht="28.5" customHeight="1">
      <c r="A23" s="26">
        <v>27</v>
      </c>
      <c r="B23" s="23" t="s">
        <v>44</v>
      </c>
      <c r="C23" s="24">
        <v>1360</v>
      </c>
      <c r="D23" s="24">
        <v>1317</v>
      </c>
      <c r="E23" s="25">
        <v>1287</v>
      </c>
      <c r="F23" s="25">
        <v>1208</v>
      </c>
      <c r="G23" s="24">
        <v>1249</v>
      </c>
      <c r="H23" s="68">
        <v>1282</v>
      </c>
      <c r="J23" s="20"/>
    </row>
    <row r="24" spans="1:10" ht="28.5" customHeight="1">
      <c r="A24" s="26">
        <v>28</v>
      </c>
      <c r="B24" s="23" t="s">
        <v>55</v>
      </c>
      <c r="C24" s="24">
        <v>1834</v>
      </c>
      <c r="D24" s="24">
        <v>1847</v>
      </c>
      <c r="E24" s="25">
        <v>1972</v>
      </c>
      <c r="F24" s="25">
        <v>1578</v>
      </c>
      <c r="G24" s="24">
        <v>1875</v>
      </c>
      <c r="H24" s="68">
        <v>1867</v>
      </c>
      <c r="J24" s="20"/>
    </row>
    <row r="25" spans="1:10" ht="28.5" customHeight="1">
      <c r="A25" s="26">
        <v>29</v>
      </c>
      <c r="B25" s="23" t="s">
        <v>56</v>
      </c>
      <c r="C25" s="24">
        <v>996</v>
      </c>
      <c r="D25" s="24">
        <v>1090</v>
      </c>
      <c r="E25" s="25">
        <v>1033</v>
      </c>
      <c r="F25" s="25">
        <v>924</v>
      </c>
      <c r="G25" s="24">
        <v>904</v>
      </c>
      <c r="H25" s="68">
        <v>987</v>
      </c>
      <c r="J25" s="20"/>
    </row>
    <row r="26" spans="1:10" ht="28.5" customHeight="1">
      <c r="A26" s="26">
        <v>30</v>
      </c>
      <c r="B26" s="23" t="s">
        <v>45</v>
      </c>
      <c r="C26" s="24">
        <v>217</v>
      </c>
      <c r="D26" s="24">
        <v>201</v>
      </c>
      <c r="E26" s="25">
        <v>151</v>
      </c>
      <c r="F26" s="25">
        <v>163</v>
      </c>
      <c r="G26" s="24">
        <v>167</v>
      </c>
      <c r="H26" s="68">
        <v>174</v>
      </c>
      <c r="J26" s="20"/>
    </row>
    <row r="27" spans="1:10" ht="28.5" customHeight="1">
      <c r="A27" s="26">
        <v>31</v>
      </c>
      <c r="B27" s="23" t="s">
        <v>46</v>
      </c>
      <c r="C27" s="24">
        <v>991</v>
      </c>
      <c r="D27" s="24">
        <v>1047</v>
      </c>
      <c r="E27" s="25">
        <v>781</v>
      </c>
      <c r="F27" s="25">
        <v>695</v>
      </c>
      <c r="G27" s="24">
        <v>633</v>
      </c>
      <c r="H27" s="68">
        <v>628</v>
      </c>
      <c r="J27" s="20"/>
    </row>
    <row r="28" spans="1:10" ht="28.5" customHeight="1">
      <c r="A28" s="26">
        <v>32</v>
      </c>
      <c r="B28" s="23" t="s">
        <v>57</v>
      </c>
      <c r="C28" s="24">
        <v>460</v>
      </c>
      <c r="D28" s="24">
        <v>413</v>
      </c>
      <c r="E28" s="25">
        <v>439</v>
      </c>
      <c r="F28" s="25">
        <v>564</v>
      </c>
      <c r="G28" s="24">
        <v>470</v>
      </c>
      <c r="H28" s="68">
        <v>628</v>
      </c>
      <c r="J28" s="20"/>
    </row>
    <row r="29" spans="1:10" ht="28.5" customHeight="1" thickBot="1">
      <c r="A29" s="27">
        <v>33</v>
      </c>
      <c r="B29" s="28" t="s">
        <v>58</v>
      </c>
      <c r="C29" s="29">
        <v>53</v>
      </c>
      <c r="D29" s="29">
        <v>56</v>
      </c>
      <c r="E29" s="30">
        <v>86</v>
      </c>
      <c r="F29" s="30">
        <v>60</v>
      </c>
      <c r="G29" s="29">
        <v>68</v>
      </c>
      <c r="H29" s="31">
        <v>58</v>
      </c>
      <c r="J29" s="20"/>
    </row>
    <row r="30" spans="1:10" ht="28.5" customHeight="1">
      <c r="J30" s="20"/>
    </row>
    <row r="31" spans="1:10" ht="28.5" customHeight="1">
      <c r="J31" s="20"/>
    </row>
    <row r="32" spans="1:10" ht="28.5" customHeight="1">
      <c r="J32" s="20"/>
    </row>
    <row r="33" spans="10:10" ht="28.5" customHeight="1">
      <c r="J33" s="20"/>
    </row>
    <row r="34" spans="10:10" ht="28.5" customHeight="1">
      <c r="J34" s="20"/>
    </row>
    <row r="35" spans="10:10" ht="28.5" customHeight="1">
      <c r="J35" s="20"/>
    </row>
    <row r="36" spans="10:10" ht="28.5" customHeight="1">
      <c r="J36" s="20"/>
    </row>
    <row r="37" spans="10:10" ht="28.5" customHeight="1">
      <c r="J37" s="20"/>
    </row>
    <row r="38" spans="10:10" ht="28.5" customHeight="1">
      <c r="J38" s="20"/>
    </row>
    <row r="39" spans="10:10" ht="28.5" customHeight="1">
      <c r="J39" s="20"/>
    </row>
    <row r="40" spans="10:10" ht="28.5" customHeight="1">
      <c r="J40" s="20"/>
    </row>
    <row r="41" spans="10:10" ht="28.5" customHeight="1">
      <c r="J41" s="20"/>
    </row>
    <row r="42" spans="10:10" ht="28.5" customHeight="1">
      <c r="J42" s="20"/>
    </row>
    <row r="43" spans="10:10" ht="28.5" customHeight="1">
      <c r="J43" s="20"/>
    </row>
    <row r="44" spans="10:10" ht="28.5" customHeight="1">
      <c r="J44" s="20"/>
    </row>
    <row r="45" spans="10:10" ht="28.5" customHeight="1">
      <c r="J45" s="20"/>
    </row>
    <row r="46" spans="10:10" ht="28.5" customHeight="1">
      <c r="J46" s="20"/>
    </row>
  </sheetData>
  <mergeCells count="4">
    <mergeCell ref="A3:A4"/>
    <mergeCell ref="B3:B4"/>
    <mergeCell ref="A1:F1"/>
    <mergeCell ref="C3:H3"/>
  </mergeCells>
  <pageMargins left="0.75" right="0.75" top="1" bottom="1" header="0.5" footer="0.5"/>
  <pageSetup paperSize="9" orientation="portrait"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AF853-AF1F-4B86-A8AA-FCBBD8E920F8}">
  <dimension ref="A1:G36"/>
  <sheetViews>
    <sheetView rightToLeft="1" workbookViewId="0">
      <selection activeCell="B4" sqref="B4:G4"/>
    </sheetView>
  </sheetViews>
  <sheetFormatPr defaultRowHeight="27" customHeight="1"/>
  <cols>
    <col min="1" max="5" width="19" style="20" customWidth="1"/>
    <col min="6" max="6" width="18" style="8" customWidth="1"/>
    <col min="7" max="7" width="17.5703125" style="20" customWidth="1"/>
    <col min="8" max="16384" width="9.140625" style="20"/>
  </cols>
  <sheetData>
    <row r="1" spans="1:7" ht="27" customHeight="1">
      <c r="A1" s="33" t="s">
        <v>97</v>
      </c>
    </row>
    <row r="2" spans="1:7" ht="27" customHeight="1">
      <c r="A2" s="108" t="s">
        <v>100</v>
      </c>
      <c r="B2" s="108"/>
      <c r="C2" s="108"/>
      <c r="D2" s="108"/>
      <c r="E2" s="108"/>
      <c r="G2" s="34"/>
    </row>
    <row r="3" spans="1:7" ht="27" customHeight="1">
      <c r="A3" s="107" t="s">
        <v>27</v>
      </c>
      <c r="B3" s="107" t="s">
        <v>26</v>
      </c>
      <c r="C3" s="107"/>
      <c r="D3" s="107"/>
      <c r="E3" s="107"/>
      <c r="F3" s="107"/>
      <c r="G3" s="107"/>
    </row>
    <row r="4" spans="1:7" ht="27" customHeight="1">
      <c r="A4" s="107"/>
      <c r="B4" s="99">
        <v>1394</v>
      </c>
      <c r="C4" s="99">
        <v>1395</v>
      </c>
      <c r="D4" s="70">
        <v>1396</v>
      </c>
      <c r="E4" s="70">
        <v>1397</v>
      </c>
      <c r="F4" s="99">
        <v>1398</v>
      </c>
      <c r="G4" s="71">
        <v>1399</v>
      </c>
    </row>
    <row r="5" spans="1:7" ht="27" customHeight="1">
      <c r="A5" s="35" t="s">
        <v>28</v>
      </c>
      <c r="B5" s="96">
        <v>33461</v>
      </c>
      <c r="C5" s="96">
        <v>31309</v>
      </c>
      <c r="D5" s="97">
        <v>30332</v>
      </c>
      <c r="E5" s="97">
        <v>29170</v>
      </c>
      <c r="F5" s="96">
        <v>29148</v>
      </c>
      <c r="G5" s="98">
        <v>30400</v>
      </c>
    </row>
    <row r="6" spans="1:7" ht="27" customHeight="1">
      <c r="A6" s="35" t="s">
        <v>0</v>
      </c>
      <c r="B6" s="36">
        <v>1869</v>
      </c>
      <c r="C6" s="36">
        <v>1796</v>
      </c>
      <c r="D6" s="37">
        <v>1756</v>
      </c>
      <c r="E6" s="37">
        <v>1741</v>
      </c>
      <c r="F6" s="38">
        <v>1735</v>
      </c>
      <c r="G6" s="38">
        <v>1869</v>
      </c>
    </row>
    <row r="7" spans="1:7" ht="27" customHeight="1">
      <c r="A7" s="35" t="s">
        <v>1</v>
      </c>
      <c r="B7" s="36">
        <v>839</v>
      </c>
      <c r="C7" s="36">
        <v>785</v>
      </c>
      <c r="D7" s="37">
        <v>694</v>
      </c>
      <c r="E7" s="37">
        <v>643</v>
      </c>
      <c r="F7" s="38">
        <v>687</v>
      </c>
      <c r="G7" s="38">
        <v>704</v>
      </c>
    </row>
    <row r="8" spans="1:7" ht="27" customHeight="1">
      <c r="A8" s="35" t="s">
        <v>2</v>
      </c>
      <c r="B8" s="36">
        <v>252</v>
      </c>
      <c r="C8" s="36">
        <v>243</v>
      </c>
      <c r="D8" s="37">
        <v>225</v>
      </c>
      <c r="E8" s="37">
        <v>250</v>
      </c>
      <c r="F8" s="38">
        <v>261</v>
      </c>
      <c r="G8" s="38">
        <v>302</v>
      </c>
    </row>
    <row r="9" spans="1:7" ht="27" customHeight="1">
      <c r="A9" s="35" t="s">
        <v>3</v>
      </c>
      <c r="B9" s="36">
        <v>3921</v>
      </c>
      <c r="C9" s="36">
        <v>3795</v>
      </c>
      <c r="D9" s="37">
        <v>3894</v>
      </c>
      <c r="E9" s="37">
        <v>3825</v>
      </c>
      <c r="F9" s="38">
        <v>3702</v>
      </c>
      <c r="G9" s="38">
        <v>3715</v>
      </c>
    </row>
    <row r="10" spans="1:7" ht="27" customHeight="1">
      <c r="A10" s="35" t="s">
        <v>4</v>
      </c>
      <c r="B10" s="36">
        <v>1748</v>
      </c>
      <c r="C10" s="36">
        <v>1643</v>
      </c>
      <c r="D10" s="37">
        <v>1802</v>
      </c>
      <c r="E10" s="37">
        <v>1635</v>
      </c>
      <c r="F10" s="38">
        <v>1655</v>
      </c>
      <c r="G10" s="38">
        <v>1641</v>
      </c>
    </row>
    <row r="11" spans="1:7" ht="27" customHeight="1">
      <c r="A11" s="35" t="s">
        <v>5</v>
      </c>
      <c r="B11" s="36">
        <v>97</v>
      </c>
      <c r="C11" s="36">
        <v>92</v>
      </c>
      <c r="D11" s="37">
        <v>52</v>
      </c>
      <c r="E11" s="37">
        <v>54</v>
      </c>
      <c r="F11" s="38">
        <v>40</v>
      </c>
      <c r="G11" s="38">
        <v>49</v>
      </c>
    </row>
    <row r="12" spans="1:7" ht="27" customHeight="1">
      <c r="A12" s="35" t="s">
        <v>6</v>
      </c>
      <c r="B12" s="36">
        <v>211</v>
      </c>
      <c r="C12" s="36">
        <v>185</v>
      </c>
      <c r="D12" s="37">
        <v>183</v>
      </c>
      <c r="E12" s="37">
        <v>180</v>
      </c>
      <c r="F12" s="38">
        <v>211</v>
      </c>
      <c r="G12" s="38">
        <v>226</v>
      </c>
    </row>
    <row r="13" spans="1:7" ht="27" customHeight="1">
      <c r="A13" s="35" t="s">
        <v>7</v>
      </c>
      <c r="B13" s="36">
        <v>7595</v>
      </c>
      <c r="C13" s="36">
        <v>7009</v>
      </c>
      <c r="D13" s="37">
        <v>6808</v>
      </c>
      <c r="E13" s="37">
        <v>6294</v>
      </c>
      <c r="F13" s="38">
        <v>5553</v>
      </c>
      <c r="G13" s="38">
        <v>6399</v>
      </c>
    </row>
    <row r="14" spans="1:7" ht="27" customHeight="1">
      <c r="A14" s="35" t="s">
        <v>64</v>
      </c>
      <c r="B14" s="36">
        <v>279</v>
      </c>
      <c r="C14" s="36">
        <v>245</v>
      </c>
      <c r="D14" s="37">
        <v>223</v>
      </c>
      <c r="E14" s="37">
        <v>242</v>
      </c>
      <c r="F14" s="38">
        <v>236</v>
      </c>
      <c r="G14" s="38">
        <v>252</v>
      </c>
    </row>
    <row r="15" spans="1:7" ht="27" customHeight="1">
      <c r="A15" s="35" t="s">
        <v>8</v>
      </c>
      <c r="B15" s="36">
        <v>192</v>
      </c>
      <c r="C15" s="36">
        <v>156</v>
      </c>
      <c r="D15" s="37">
        <v>138</v>
      </c>
      <c r="E15" s="37">
        <v>118</v>
      </c>
      <c r="F15" s="38">
        <v>145</v>
      </c>
      <c r="G15" s="38">
        <v>148</v>
      </c>
    </row>
    <row r="16" spans="1:7" ht="27" customHeight="1">
      <c r="A16" s="35" t="s">
        <v>29</v>
      </c>
      <c r="B16" s="36">
        <v>2329</v>
      </c>
      <c r="C16" s="36">
        <v>2136</v>
      </c>
      <c r="D16" s="37">
        <v>2164</v>
      </c>
      <c r="E16" s="37">
        <v>2180</v>
      </c>
      <c r="F16" s="38">
        <v>2258</v>
      </c>
      <c r="G16" s="38">
        <v>2252</v>
      </c>
    </row>
    <row r="17" spans="1:7" ht="27" customHeight="1">
      <c r="A17" s="35" t="s">
        <v>9</v>
      </c>
      <c r="B17" s="36">
        <v>161</v>
      </c>
      <c r="C17" s="36">
        <v>152</v>
      </c>
      <c r="D17" s="37">
        <v>135</v>
      </c>
      <c r="E17" s="37">
        <v>120</v>
      </c>
      <c r="F17" s="38">
        <v>135</v>
      </c>
      <c r="G17" s="38">
        <v>132</v>
      </c>
    </row>
    <row r="18" spans="1:7" ht="27" customHeight="1">
      <c r="A18" s="35" t="s">
        <v>10</v>
      </c>
      <c r="B18" s="36">
        <v>791</v>
      </c>
      <c r="C18" s="36">
        <v>716</v>
      </c>
      <c r="D18" s="37">
        <v>663</v>
      </c>
      <c r="E18" s="37">
        <v>652</v>
      </c>
      <c r="F18" s="38">
        <v>647</v>
      </c>
      <c r="G18" s="38">
        <v>716</v>
      </c>
    </row>
    <row r="19" spans="1:7" ht="27" customHeight="1">
      <c r="A19" s="35" t="s">
        <v>11</v>
      </c>
      <c r="B19" s="36">
        <v>498</v>
      </c>
      <c r="C19" s="36">
        <v>451</v>
      </c>
      <c r="D19" s="37">
        <v>416</v>
      </c>
      <c r="E19" s="37">
        <v>425</v>
      </c>
      <c r="F19" s="38">
        <v>475</v>
      </c>
      <c r="G19" s="38">
        <v>469</v>
      </c>
    </row>
    <row r="20" spans="1:7" ht="27" customHeight="1">
      <c r="A20" s="35" t="s">
        <v>12</v>
      </c>
      <c r="B20" s="36">
        <v>1166</v>
      </c>
      <c r="C20" s="36">
        <v>1073</v>
      </c>
      <c r="D20" s="37">
        <v>1072</v>
      </c>
      <c r="E20" s="37">
        <v>964</v>
      </c>
      <c r="F20" s="38">
        <v>963</v>
      </c>
      <c r="G20" s="38">
        <v>1005</v>
      </c>
    </row>
    <row r="21" spans="1:7" ht="27" customHeight="1">
      <c r="A21" s="35" t="s">
        <v>30</v>
      </c>
      <c r="B21" s="36">
        <v>413</v>
      </c>
      <c r="C21" s="36">
        <v>329</v>
      </c>
      <c r="D21" s="37">
        <v>365</v>
      </c>
      <c r="E21" s="37">
        <v>331</v>
      </c>
      <c r="F21" s="38">
        <v>407</v>
      </c>
      <c r="G21" s="38">
        <v>377</v>
      </c>
    </row>
    <row r="22" spans="1:7" ht="27" customHeight="1">
      <c r="A22" s="35" t="s">
        <v>13</v>
      </c>
      <c r="B22" s="36">
        <v>1273</v>
      </c>
      <c r="C22" s="36">
        <v>1188</v>
      </c>
      <c r="D22" s="37">
        <v>1253</v>
      </c>
      <c r="E22" s="37">
        <v>1294</v>
      </c>
      <c r="F22" s="38">
        <v>1271</v>
      </c>
      <c r="G22" s="38">
        <v>1326</v>
      </c>
    </row>
    <row r="23" spans="1:7" ht="27" customHeight="1">
      <c r="A23" s="35" t="s">
        <v>14</v>
      </c>
      <c r="B23" s="36">
        <v>1214</v>
      </c>
      <c r="C23" s="36">
        <v>1154</v>
      </c>
      <c r="D23" s="37">
        <v>1174</v>
      </c>
      <c r="E23" s="37">
        <v>1037</v>
      </c>
      <c r="F23" s="38">
        <v>1304</v>
      </c>
      <c r="G23" s="38">
        <v>1194</v>
      </c>
    </row>
    <row r="24" spans="1:7" ht="27" customHeight="1">
      <c r="A24" s="35" t="s">
        <v>15</v>
      </c>
      <c r="B24" s="36">
        <v>835</v>
      </c>
      <c r="C24" s="36">
        <v>845</v>
      </c>
      <c r="D24" s="37">
        <v>744</v>
      </c>
      <c r="E24" s="37">
        <v>805</v>
      </c>
      <c r="F24" s="38">
        <v>748</v>
      </c>
      <c r="G24" s="38">
        <v>903</v>
      </c>
    </row>
    <row r="25" spans="1:7" ht="27" customHeight="1">
      <c r="A25" s="35" t="s">
        <v>16</v>
      </c>
      <c r="B25" s="36">
        <v>290</v>
      </c>
      <c r="C25" s="36">
        <v>274</v>
      </c>
      <c r="D25" s="37">
        <v>224</v>
      </c>
      <c r="E25" s="37">
        <v>215</v>
      </c>
      <c r="F25" s="38">
        <v>225</v>
      </c>
      <c r="G25" s="38">
        <v>216</v>
      </c>
    </row>
    <row r="26" spans="1:7" ht="27" customHeight="1">
      <c r="A26" s="35" t="s">
        <v>17</v>
      </c>
      <c r="B26" s="36">
        <v>817</v>
      </c>
      <c r="C26" s="36">
        <v>749</v>
      </c>
      <c r="D26" s="37">
        <v>631</v>
      </c>
      <c r="E26" s="37">
        <v>590</v>
      </c>
      <c r="F26" s="38">
        <v>675</v>
      </c>
      <c r="G26" s="38">
        <v>710</v>
      </c>
    </row>
    <row r="27" spans="1:7" ht="27" customHeight="1">
      <c r="A27" s="35" t="s">
        <v>18</v>
      </c>
      <c r="B27" s="36">
        <v>339</v>
      </c>
      <c r="C27" s="36">
        <v>283</v>
      </c>
      <c r="D27" s="37">
        <v>289</v>
      </c>
      <c r="E27" s="37">
        <v>262</v>
      </c>
      <c r="F27" s="38">
        <v>262</v>
      </c>
      <c r="G27" s="38">
        <v>274</v>
      </c>
    </row>
    <row r="28" spans="1:7" ht="27" customHeight="1">
      <c r="A28" s="35" t="s">
        <v>31</v>
      </c>
      <c r="B28" s="36">
        <v>98</v>
      </c>
      <c r="C28" s="36">
        <v>82</v>
      </c>
      <c r="D28" s="37">
        <v>63</v>
      </c>
      <c r="E28" s="37">
        <v>58</v>
      </c>
      <c r="F28" s="38">
        <v>64</v>
      </c>
      <c r="G28" s="38">
        <v>66</v>
      </c>
    </row>
    <row r="29" spans="1:7" ht="27" customHeight="1">
      <c r="A29" s="35" t="s">
        <v>19</v>
      </c>
      <c r="B29" s="36">
        <v>486</v>
      </c>
      <c r="C29" s="36">
        <v>455</v>
      </c>
      <c r="D29" s="37">
        <v>406</v>
      </c>
      <c r="E29" s="37">
        <v>428</v>
      </c>
      <c r="F29" s="38">
        <v>425</v>
      </c>
      <c r="G29" s="38">
        <v>435</v>
      </c>
    </row>
    <row r="30" spans="1:7" ht="27" customHeight="1">
      <c r="A30" s="35" t="s">
        <v>20</v>
      </c>
      <c r="B30" s="36">
        <v>982</v>
      </c>
      <c r="C30" s="36">
        <v>908</v>
      </c>
      <c r="D30" s="37">
        <v>808</v>
      </c>
      <c r="E30" s="37">
        <v>754</v>
      </c>
      <c r="F30" s="38">
        <v>843</v>
      </c>
      <c r="G30" s="38">
        <v>769</v>
      </c>
    </row>
    <row r="31" spans="1:7" ht="27" customHeight="1">
      <c r="A31" s="35" t="s">
        <v>21</v>
      </c>
      <c r="B31" s="36">
        <v>413</v>
      </c>
      <c r="C31" s="36">
        <v>405</v>
      </c>
      <c r="D31" s="37">
        <v>296</v>
      </c>
      <c r="E31" s="37">
        <v>319</v>
      </c>
      <c r="F31" s="38">
        <v>341</v>
      </c>
      <c r="G31" s="38">
        <v>332</v>
      </c>
    </row>
    <row r="32" spans="1:7" ht="27" customHeight="1">
      <c r="A32" s="35" t="s">
        <v>22</v>
      </c>
      <c r="B32" s="36">
        <v>1237</v>
      </c>
      <c r="C32" s="36">
        <v>1153</v>
      </c>
      <c r="D32" s="37">
        <v>1087</v>
      </c>
      <c r="E32" s="37">
        <v>1073</v>
      </c>
      <c r="F32" s="38">
        <v>1129</v>
      </c>
      <c r="G32" s="38">
        <v>1075</v>
      </c>
    </row>
    <row r="33" spans="1:7" ht="27" customHeight="1">
      <c r="A33" s="35" t="s">
        <v>32</v>
      </c>
      <c r="B33" s="36">
        <v>1300</v>
      </c>
      <c r="C33" s="36">
        <v>1171</v>
      </c>
      <c r="D33" s="37">
        <v>1143</v>
      </c>
      <c r="E33" s="37">
        <v>1072</v>
      </c>
      <c r="F33" s="38">
        <v>1132</v>
      </c>
      <c r="G33" s="38">
        <v>1110</v>
      </c>
    </row>
    <row r="34" spans="1:7" ht="27" customHeight="1">
      <c r="A34" s="35" t="s">
        <v>23</v>
      </c>
      <c r="B34" s="36">
        <v>322</v>
      </c>
      <c r="C34" s="36">
        <v>303</v>
      </c>
      <c r="D34" s="37">
        <v>248</v>
      </c>
      <c r="E34" s="37">
        <v>244</v>
      </c>
      <c r="F34" s="38">
        <v>252</v>
      </c>
      <c r="G34" s="38">
        <v>269</v>
      </c>
    </row>
    <row r="35" spans="1:7" ht="27" customHeight="1">
      <c r="A35" s="35" t="s">
        <v>24</v>
      </c>
      <c r="B35" s="36">
        <v>552</v>
      </c>
      <c r="C35" s="36">
        <v>501</v>
      </c>
      <c r="D35" s="37">
        <v>434</v>
      </c>
      <c r="E35" s="37">
        <v>419</v>
      </c>
      <c r="F35" s="38">
        <v>388</v>
      </c>
      <c r="G35" s="38">
        <v>448</v>
      </c>
    </row>
    <row r="36" spans="1:7" ht="27" customHeight="1" thickBot="1">
      <c r="A36" s="39" t="s">
        <v>25</v>
      </c>
      <c r="B36" s="40">
        <v>945</v>
      </c>
      <c r="C36" s="40">
        <v>1030</v>
      </c>
      <c r="D36" s="41">
        <v>943</v>
      </c>
      <c r="E36" s="41">
        <v>948</v>
      </c>
      <c r="F36" s="42">
        <v>979</v>
      </c>
      <c r="G36" s="42">
        <v>1017</v>
      </c>
    </row>
  </sheetData>
  <mergeCells count="3">
    <mergeCell ref="A3:A4"/>
    <mergeCell ref="A2:E2"/>
    <mergeCell ref="B3:G3"/>
  </mergeCells>
  <pageMargins left="0.75" right="0.75" top="1" bottom="1" header="0.5" footer="0.5"/>
  <pageSetup paperSize="9" orientation="portrait" r:id="rId1"/>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F9A7-807C-4597-BB44-AB3E1E0AC2F4}">
  <dimension ref="A1:H33"/>
  <sheetViews>
    <sheetView rightToLeft="1" tabSelected="1" workbookViewId="0">
      <selection activeCell="B7" sqref="B7"/>
    </sheetView>
  </sheetViews>
  <sheetFormatPr defaultRowHeight="27" customHeight="1"/>
  <cols>
    <col min="1" max="1" width="15.28515625" style="20" customWidth="1"/>
    <col min="2" max="2" width="52.7109375" style="20" customWidth="1"/>
    <col min="3" max="4" width="19" style="20" customWidth="1"/>
    <col min="5" max="6" width="19" style="32" customWidth="1"/>
    <col min="7" max="7" width="16.85546875" style="32" customWidth="1"/>
    <col min="8" max="8" width="15.7109375" style="20" customWidth="1"/>
    <col min="9" max="9" width="9.140625" style="20"/>
    <col min="10" max="10" width="13.5703125" style="20" bestFit="1" customWidth="1"/>
    <col min="11" max="16384" width="9.140625" style="20"/>
  </cols>
  <sheetData>
    <row r="1" spans="1:8" ht="27" customHeight="1">
      <c r="A1" s="33" t="s">
        <v>97</v>
      </c>
    </row>
    <row r="2" spans="1:8" ht="27" customHeight="1" thickBot="1">
      <c r="A2" s="116" t="s">
        <v>101</v>
      </c>
      <c r="B2" s="116"/>
      <c r="C2" s="108"/>
      <c r="D2" s="108"/>
      <c r="E2" s="108"/>
      <c r="F2" s="18"/>
      <c r="H2" s="32"/>
    </row>
    <row r="3" spans="1:8" ht="27" customHeight="1">
      <c r="A3" s="114" t="s">
        <v>34</v>
      </c>
      <c r="B3" s="112" t="s">
        <v>35</v>
      </c>
      <c r="C3" s="117" t="s">
        <v>47</v>
      </c>
      <c r="D3" s="118"/>
      <c r="E3" s="118"/>
      <c r="F3" s="118"/>
      <c r="G3" s="118"/>
      <c r="H3" s="119"/>
    </row>
    <row r="4" spans="1:8" ht="27" customHeight="1">
      <c r="A4" s="115"/>
      <c r="B4" s="113"/>
      <c r="C4" s="99">
        <v>1394</v>
      </c>
      <c r="D4" s="99">
        <v>1395</v>
      </c>
      <c r="E4" s="70">
        <v>1396</v>
      </c>
      <c r="F4" s="70">
        <v>1397</v>
      </c>
      <c r="G4" s="99">
        <v>1398</v>
      </c>
      <c r="H4" s="71">
        <v>1399</v>
      </c>
    </row>
    <row r="5" spans="1:8" ht="27" customHeight="1">
      <c r="A5" s="43"/>
      <c r="B5" s="23" t="s">
        <v>66</v>
      </c>
      <c r="C5" s="44">
        <v>1190666573.8046088</v>
      </c>
      <c r="D5" s="44">
        <v>1156571019.7487111</v>
      </c>
      <c r="E5" s="44">
        <v>1131063570.1177461</v>
      </c>
      <c r="F5" s="45">
        <v>1125592247.7028172</v>
      </c>
      <c r="G5" s="45">
        <v>1176124238.2092762</v>
      </c>
      <c r="H5" s="46">
        <v>1160509606</v>
      </c>
    </row>
    <row r="6" spans="1:8" ht="27" customHeight="1">
      <c r="A6" s="26">
        <v>10</v>
      </c>
      <c r="B6" s="23" t="s">
        <v>37</v>
      </c>
      <c r="C6" s="44">
        <v>159912929.48148122</v>
      </c>
      <c r="D6" s="44">
        <v>162087787.23647302</v>
      </c>
      <c r="E6" s="44">
        <v>164753185.27509424</v>
      </c>
      <c r="F6" s="45">
        <v>169131304.39550382</v>
      </c>
      <c r="G6" s="45">
        <v>209372170.14360023</v>
      </c>
      <c r="H6" s="46">
        <v>210358318</v>
      </c>
    </row>
    <row r="7" spans="1:8" ht="27" customHeight="1">
      <c r="A7" s="26">
        <v>11</v>
      </c>
      <c r="B7" s="23" t="s">
        <v>38</v>
      </c>
      <c r="C7" s="44">
        <v>26084868.471478537</v>
      </c>
      <c r="D7" s="44">
        <v>28287769.527008243</v>
      </c>
      <c r="E7" s="44">
        <v>29894060.311111111</v>
      </c>
      <c r="F7" s="45">
        <v>29542993.141391944</v>
      </c>
      <c r="G7" s="45">
        <v>31127527.261904761</v>
      </c>
      <c r="H7" s="46">
        <v>33238465</v>
      </c>
    </row>
    <row r="8" spans="1:8" ht="27" customHeight="1">
      <c r="A8" s="26">
        <v>12</v>
      </c>
      <c r="B8" s="23" t="s">
        <v>39</v>
      </c>
      <c r="C8" s="44">
        <v>209892</v>
      </c>
      <c r="D8" s="44">
        <v>207986</v>
      </c>
      <c r="E8" s="44">
        <v>208165</v>
      </c>
      <c r="F8" s="45">
        <v>229924</v>
      </c>
      <c r="G8" s="45">
        <v>390767</v>
      </c>
      <c r="H8" s="46">
        <v>391493</v>
      </c>
    </row>
    <row r="9" spans="1:8" ht="27" customHeight="1">
      <c r="A9" s="26">
        <v>13</v>
      </c>
      <c r="B9" s="23" t="s">
        <v>40</v>
      </c>
      <c r="C9" s="44">
        <v>25374667.669606742</v>
      </c>
      <c r="D9" s="44">
        <v>24359923.92087147</v>
      </c>
      <c r="E9" s="44">
        <v>26838557.978330914</v>
      </c>
      <c r="F9" s="45">
        <v>26931878.065602362</v>
      </c>
      <c r="G9" s="45">
        <v>27712915.170458339</v>
      </c>
      <c r="H9" s="46">
        <v>32568247</v>
      </c>
    </row>
    <row r="10" spans="1:8" ht="27" customHeight="1">
      <c r="A10" s="26">
        <v>14</v>
      </c>
      <c r="B10" s="23" t="s">
        <v>41</v>
      </c>
      <c r="C10" s="44">
        <v>1418915.6624815492</v>
      </c>
      <c r="D10" s="44">
        <v>1386242.8388778926</v>
      </c>
      <c r="E10" s="44">
        <v>1454150.4554720134</v>
      </c>
      <c r="F10" s="45">
        <v>2182045.5272024269</v>
      </c>
      <c r="G10" s="45">
        <v>1571095.5043290043</v>
      </c>
      <c r="H10" s="46">
        <v>2626125</v>
      </c>
    </row>
    <row r="11" spans="1:8" ht="27" customHeight="1">
      <c r="A11" s="26">
        <v>15</v>
      </c>
      <c r="B11" s="23" t="s">
        <v>50</v>
      </c>
      <c r="C11" s="44">
        <v>4625108.8903596792</v>
      </c>
      <c r="D11" s="44">
        <v>4923913.5217567366</v>
      </c>
      <c r="E11" s="44">
        <v>3783548.6012090836</v>
      </c>
      <c r="F11" s="45">
        <v>3456467.6431989064</v>
      </c>
      <c r="G11" s="45">
        <v>2616053.3015151513</v>
      </c>
      <c r="H11" s="46">
        <v>3132588</v>
      </c>
    </row>
    <row r="12" spans="1:8" ht="27" customHeight="1">
      <c r="A12" s="26">
        <v>16</v>
      </c>
      <c r="B12" s="23" t="s">
        <v>59</v>
      </c>
      <c r="C12" s="44">
        <v>3975323.8521581944</v>
      </c>
      <c r="D12" s="44">
        <v>4100009.4338218942</v>
      </c>
      <c r="E12" s="44">
        <v>4048277.5409240932</v>
      </c>
      <c r="F12" s="45">
        <v>3943554.2077922071</v>
      </c>
      <c r="G12" s="45">
        <v>3165079.865384615</v>
      </c>
      <c r="H12" s="46">
        <v>3794520</v>
      </c>
    </row>
    <row r="13" spans="1:8" ht="27" customHeight="1">
      <c r="A13" s="26">
        <v>17</v>
      </c>
      <c r="B13" s="23" t="s">
        <v>51</v>
      </c>
      <c r="C13" s="44">
        <v>22282656.839722421</v>
      </c>
      <c r="D13" s="44">
        <v>24870478.427718639</v>
      </c>
      <c r="E13" s="44">
        <v>26011482.60962322</v>
      </c>
      <c r="F13" s="45">
        <v>25122789.761062711</v>
      </c>
      <c r="G13" s="45">
        <v>23905557.999999996</v>
      </c>
      <c r="H13" s="46">
        <v>25561254</v>
      </c>
    </row>
    <row r="14" spans="1:8" ht="27" customHeight="1">
      <c r="A14" s="26">
        <v>18</v>
      </c>
      <c r="B14" s="23" t="s">
        <v>42</v>
      </c>
      <c r="C14" s="44">
        <v>2102741.0402875333</v>
      </c>
      <c r="D14" s="44">
        <v>2258793.6787981861</v>
      </c>
      <c r="E14" s="44">
        <v>2932344.6148168496</v>
      </c>
      <c r="F14" s="45">
        <v>2866479.4732999685</v>
      </c>
      <c r="G14" s="45">
        <v>3422529.3016979918</v>
      </c>
      <c r="H14" s="46">
        <v>3756988</v>
      </c>
    </row>
    <row r="15" spans="1:8" ht="27" customHeight="1">
      <c r="A15" s="26">
        <v>19</v>
      </c>
      <c r="B15" s="23" t="s">
        <v>52</v>
      </c>
      <c r="C15" s="44">
        <v>179302967.95748353</v>
      </c>
      <c r="D15" s="44">
        <v>166916208.44795972</v>
      </c>
      <c r="E15" s="44">
        <v>168851937.74166667</v>
      </c>
      <c r="F15" s="45">
        <v>168956904.15925926</v>
      </c>
      <c r="G15" s="45">
        <v>179848451.36666667</v>
      </c>
      <c r="H15" s="46">
        <v>104391929</v>
      </c>
    </row>
    <row r="16" spans="1:8" ht="27" customHeight="1">
      <c r="A16" s="26">
        <v>20</v>
      </c>
      <c r="B16" s="23" t="s">
        <v>60</v>
      </c>
      <c r="C16" s="44">
        <v>290911238.99741441</v>
      </c>
      <c r="D16" s="44">
        <v>288047014.35616058</v>
      </c>
      <c r="E16" s="44">
        <v>252165929.24652132</v>
      </c>
      <c r="F16" s="45">
        <v>258917138.97870296</v>
      </c>
      <c r="G16" s="45">
        <v>246374362.95721084</v>
      </c>
      <c r="H16" s="46">
        <v>261414112</v>
      </c>
    </row>
    <row r="17" spans="1:8" ht="27" customHeight="1">
      <c r="A17" s="26">
        <v>21</v>
      </c>
      <c r="B17" s="23" t="s">
        <v>61</v>
      </c>
      <c r="C17" s="44">
        <v>10978455.602683578</v>
      </c>
      <c r="D17" s="44">
        <v>12420085.27271693</v>
      </c>
      <c r="E17" s="44">
        <v>13999669.13882784</v>
      </c>
      <c r="F17" s="45">
        <v>14059384.33868687</v>
      </c>
      <c r="G17" s="45">
        <v>14899559.133333333</v>
      </c>
      <c r="H17" s="46">
        <v>15819101</v>
      </c>
    </row>
    <row r="18" spans="1:8" ht="27" customHeight="1">
      <c r="A18" s="26">
        <v>22</v>
      </c>
      <c r="B18" s="23" t="s">
        <v>62</v>
      </c>
      <c r="C18" s="44">
        <v>35953543.254126042</v>
      </c>
      <c r="D18" s="44">
        <v>32439524.57852545</v>
      </c>
      <c r="E18" s="44">
        <v>30892264.048970938</v>
      </c>
      <c r="F18" s="45">
        <v>29445789.578052115</v>
      </c>
      <c r="G18" s="45">
        <v>31258479.773847215</v>
      </c>
      <c r="H18" s="46">
        <v>39399310</v>
      </c>
    </row>
    <row r="19" spans="1:8" ht="27" customHeight="1">
      <c r="A19" s="26">
        <v>23</v>
      </c>
      <c r="B19" s="23" t="s">
        <v>63</v>
      </c>
      <c r="C19" s="44">
        <v>132919177.40091307</v>
      </c>
      <c r="D19" s="44">
        <v>129733271.20039041</v>
      </c>
      <c r="E19" s="44">
        <v>130094988.86670095</v>
      </c>
      <c r="F19" s="45">
        <v>126455494.83308744</v>
      </c>
      <c r="G19" s="45">
        <v>124557168.52089298</v>
      </c>
      <c r="H19" s="46">
        <v>121350109</v>
      </c>
    </row>
    <row r="20" spans="1:8" ht="27" customHeight="1">
      <c r="A20" s="26">
        <v>24</v>
      </c>
      <c r="B20" s="23" t="s">
        <v>43</v>
      </c>
      <c r="C20" s="44">
        <v>187056093.39241302</v>
      </c>
      <c r="D20" s="44">
        <v>164561869.00442582</v>
      </c>
      <c r="E20" s="44">
        <v>164354631.50247094</v>
      </c>
      <c r="F20" s="45">
        <v>166807560.56983396</v>
      </c>
      <c r="G20" s="45">
        <v>164369239.6288099</v>
      </c>
      <c r="H20" s="46">
        <v>171213182</v>
      </c>
    </row>
    <row r="21" spans="1:8" ht="27" customHeight="1">
      <c r="A21" s="26">
        <v>25</v>
      </c>
      <c r="B21" s="23" t="s">
        <v>53</v>
      </c>
      <c r="C21" s="44">
        <v>29771185.083808918</v>
      </c>
      <c r="D21" s="44">
        <v>31149750.138167102</v>
      </c>
      <c r="E21" s="44">
        <v>29898323.013894871</v>
      </c>
      <c r="F21" s="45">
        <v>25450764.691523939</v>
      </c>
      <c r="G21" s="45">
        <v>28604600.173859887</v>
      </c>
      <c r="H21" s="46">
        <v>33570643</v>
      </c>
    </row>
    <row r="22" spans="1:8" ht="27" customHeight="1">
      <c r="A22" s="26">
        <v>26</v>
      </c>
      <c r="B22" s="23" t="s">
        <v>54</v>
      </c>
      <c r="C22" s="44">
        <v>2810476.7866193228</v>
      </c>
      <c r="D22" s="44">
        <v>2593042.1119678067</v>
      </c>
      <c r="E22" s="44">
        <v>4025313.9334733896</v>
      </c>
      <c r="F22" s="45">
        <v>3782399.7166666668</v>
      </c>
      <c r="G22" s="45">
        <v>3835715.0762772318</v>
      </c>
      <c r="H22" s="46">
        <v>4320003</v>
      </c>
    </row>
    <row r="23" spans="1:8" ht="27" customHeight="1">
      <c r="A23" s="26">
        <v>27</v>
      </c>
      <c r="B23" s="23" t="s">
        <v>44</v>
      </c>
      <c r="C23" s="44">
        <v>14121893.055887861</v>
      </c>
      <c r="D23" s="44">
        <v>14148878.247048382</v>
      </c>
      <c r="E23" s="44">
        <v>13381366.920189751</v>
      </c>
      <c r="F23" s="45">
        <v>14170197.721753249</v>
      </c>
      <c r="G23" s="45">
        <v>15461131.173591595</v>
      </c>
      <c r="H23" s="46">
        <v>18240476</v>
      </c>
    </row>
    <row r="24" spans="1:8" ht="27" customHeight="1">
      <c r="A24" s="26">
        <v>28</v>
      </c>
      <c r="B24" s="23" t="s">
        <v>55</v>
      </c>
      <c r="C24" s="44">
        <v>16086383.974703131</v>
      </c>
      <c r="D24" s="44">
        <v>15078260.177577084</v>
      </c>
      <c r="E24" s="44">
        <v>18115870.36776834</v>
      </c>
      <c r="F24" s="45">
        <v>15407659.174035178</v>
      </c>
      <c r="G24" s="45">
        <v>18955739.864637837</v>
      </c>
      <c r="H24" s="46">
        <v>19736036</v>
      </c>
    </row>
    <row r="25" spans="1:8" ht="27" customHeight="1">
      <c r="A25" s="26">
        <v>29</v>
      </c>
      <c r="B25" s="23" t="s">
        <v>56</v>
      </c>
      <c r="C25" s="44">
        <v>27764074.700460516</v>
      </c>
      <c r="D25" s="44">
        <v>29188791.081445076</v>
      </c>
      <c r="E25" s="44">
        <v>28986678.150806744</v>
      </c>
      <c r="F25" s="45">
        <v>22001357.797596302</v>
      </c>
      <c r="G25" s="45">
        <v>28044904.817839455</v>
      </c>
      <c r="H25" s="46">
        <v>38591761</v>
      </c>
    </row>
    <row r="26" spans="1:8" ht="27" customHeight="1">
      <c r="A26" s="26">
        <v>30</v>
      </c>
      <c r="B26" s="23" t="s">
        <v>45</v>
      </c>
      <c r="C26" s="44">
        <v>4994023.132344991</v>
      </c>
      <c r="D26" s="44">
        <v>5647532.7670383751</v>
      </c>
      <c r="E26" s="44">
        <v>5029862.5</v>
      </c>
      <c r="F26" s="45">
        <v>6034962.777777778</v>
      </c>
      <c r="G26" s="45">
        <v>5898254.3847167324</v>
      </c>
      <c r="H26" s="46">
        <v>6656546</v>
      </c>
    </row>
    <row r="27" spans="1:8" ht="27" customHeight="1">
      <c r="A27" s="26">
        <v>31</v>
      </c>
      <c r="B27" s="23" t="s">
        <v>46</v>
      </c>
      <c r="C27" s="44">
        <v>5925859.8000768246</v>
      </c>
      <c r="D27" s="44">
        <v>6060454.9290078972</v>
      </c>
      <c r="E27" s="44">
        <v>4623154.2810753938</v>
      </c>
      <c r="F27" s="45">
        <v>3179896.8337442316</v>
      </c>
      <c r="G27" s="45">
        <v>3030464.5759743545</v>
      </c>
      <c r="H27" s="46">
        <v>2989739</v>
      </c>
    </row>
    <row r="28" spans="1:8" ht="27" customHeight="1">
      <c r="A28" s="26">
        <v>32</v>
      </c>
      <c r="B28" s="23" t="s">
        <v>57</v>
      </c>
      <c r="C28" s="44">
        <v>5112871.104362851</v>
      </c>
      <c r="D28" s="44">
        <v>4888215.8519802233</v>
      </c>
      <c r="E28" s="44">
        <v>5282922.9841830172</v>
      </c>
      <c r="F28" s="45">
        <v>6218101.8170421785</v>
      </c>
      <c r="G28" s="45">
        <v>5138528.71272761</v>
      </c>
      <c r="H28" s="46">
        <v>5934835</v>
      </c>
    </row>
    <row r="29" spans="1:8" ht="27" customHeight="1" thickBot="1">
      <c r="A29" s="27">
        <v>33</v>
      </c>
      <c r="B29" s="28" t="s">
        <v>58</v>
      </c>
      <c r="C29" s="47">
        <v>971225.65373536339</v>
      </c>
      <c r="D29" s="47">
        <v>1215216.9989734585</v>
      </c>
      <c r="E29" s="47">
        <v>1436885.0346153846</v>
      </c>
      <c r="F29" s="48">
        <v>1297198.5</v>
      </c>
      <c r="G29" s="48">
        <v>2563942.5000000005</v>
      </c>
      <c r="H29" s="49">
        <v>1479022</v>
      </c>
    </row>
    <row r="30" spans="1:8" ht="27" customHeight="1">
      <c r="G30" s="20"/>
    </row>
    <row r="31" spans="1:8" ht="27" customHeight="1">
      <c r="G31" s="20"/>
    </row>
    <row r="32" spans="1:8" ht="27" customHeight="1">
      <c r="G32" s="20"/>
    </row>
    <row r="33" spans="7:7" ht="27" customHeight="1">
      <c r="G33" s="20"/>
    </row>
  </sheetData>
  <mergeCells count="4">
    <mergeCell ref="B3:B4"/>
    <mergeCell ref="A3:A4"/>
    <mergeCell ref="A2:E2"/>
    <mergeCell ref="C3:H3"/>
  </mergeCells>
  <pageMargins left="0.75" right="0.75" top="1" bottom="1" header="0.5" footer="0.5"/>
  <pageSetup paperSize="9" orientation="portrait" r:id="rId1"/>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7C11-D552-48D3-BF85-A2DD1F005EAE}">
  <dimension ref="A1:H37"/>
  <sheetViews>
    <sheetView rightToLeft="1" workbookViewId="0">
      <selection activeCell="C4" sqref="C4:H4"/>
    </sheetView>
  </sheetViews>
  <sheetFormatPr defaultRowHeight="27.75" customHeight="1"/>
  <cols>
    <col min="1" max="1" width="9.28515625" style="20" bestFit="1" customWidth="1"/>
    <col min="2" max="2" width="25" style="20" customWidth="1"/>
    <col min="3" max="6" width="19" style="20" customWidth="1"/>
    <col min="7" max="7" width="19" style="32" customWidth="1"/>
    <col min="8" max="8" width="18.85546875" style="32" customWidth="1"/>
    <col min="9" max="16384" width="9.140625" style="20"/>
  </cols>
  <sheetData>
    <row r="1" spans="1:8" ht="27.75" customHeight="1">
      <c r="A1" s="33" t="s">
        <v>97</v>
      </c>
    </row>
    <row r="2" spans="1:8" ht="27.75" customHeight="1" thickBot="1">
      <c r="A2" s="108" t="s">
        <v>102</v>
      </c>
      <c r="B2" s="108"/>
      <c r="C2" s="108"/>
      <c r="D2" s="108"/>
      <c r="E2" s="108"/>
      <c r="F2" s="108"/>
      <c r="G2" s="108"/>
      <c r="H2" s="108"/>
    </row>
    <row r="3" spans="1:8" ht="27.75" customHeight="1">
      <c r="A3" s="120" t="s">
        <v>48</v>
      </c>
      <c r="B3" s="122" t="s">
        <v>27</v>
      </c>
      <c r="C3" s="124" t="s">
        <v>47</v>
      </c>
      <c r="D3" s="125"/>
      <c r="E3" s="125"/>
      <c r="F3" s="125"/>
      <c r="G3" s="125"/>
      <c r="H3" s="126"/>
    </row>
    <row r="4" spans="1:8" ht="27.75" customHeight="1">
      <c r="A4" s="121"/>
      <c r="B4" s="123"/>
      <c r="C4" s="99">
        <v>1394</v>
      </c>
      <c r="D4" s="99">
        <v>1395</v>
      </c>
      <c r="E4" s="70">
        <v>1396</v>
      </c>
      <c r="F4" s="70">
        <v>1397</v>
      </c>
      <c r="G4" s="99">
        <v>1398</v>
      </c>
      <c r="H4" s="71">
        <v>1399</v>
      </c>
    </row>
    <row r="5" spans="1:8" ht="27.75" customHeight="1">
      <c r="A5" s="50"/>
      <c r="B5" s="51" t="s">
        <v>67</v>
      </c>
      <c r="C5" s="52">
        <v>1190666573.8046088</v>
      </c>
      <c r="D5" s="52">
        <v>1156571019.7487104</v>
      </c>
      <c r="E5" s="52">
        <v>1131063570.1177456</v>
      </c>
      <c r="F5" s="53">
        <v>1125592247.7028165</v>
      </c>
      <c r="G5" s="52">
        <v>1176124238.2092745</v>
      </c>
      <c r="H5" s="54">
        <v>1160509606</v>
      </c>
    </row>
    <row r="6" spans="1:8" ht="27.75" customHeight="1">
      <c r="A6" s="26">
        <v>3</v>
      </c>
      <c r="B6" s="55" t="s">
        <v>0</v>
      </c>
      <c r="C6" s="52">
        <v>38456923.572388887</v>
      </c>
      <c r="D6" s="52">
        <v>39551950.786119573</v>
      </c>
      <c r="E6" s="52">
        <v>39968356.634320684</v>
      </c>
      <c r="F6" s="53">
        <v>40015395.212936506</v>
      </c>
      <c r="G6" s="52">
        <v>44166700.58670219</v>
      </c>
      <c r="H6" s="54">
        <v>48519610</v>
      </c>
    </row>
    <row r="7" spans="1:8" ht="27.75" customHeight="1">
      <c r="A7" s="26">
        <v>4</v>
      </c>
      <c r="B7" s="55" t="s">
        <v>1</v>
      </c>
      <c r="C7" s="52">
        <v>15477567.524452658</v>
      </c>
      <c r="D7" s="52">
        <v>12068254.384057974</v>
      </c>
      <c r="E7" s="52">
        <v>11738714.590476189</v>
      </c>
      <c r="F7" s="53">
        <v>10116665.154761905</v>
      </c>
      <c r="G7" s="52">
        <v>8931793.8898550719</v>
      </c>
      <c r="H7" s="54">
        <v>9229021</v>
      </c>
    </row>
    <row r="8" spans="1:8" ht="27.75" customHeight="1">
      <c r="A8" s="26">
        <v>24</v>
      </c>
      <c r="B8" s="55" t="s">
        <v>2</v>
      </c>
      <c r="C8" s="52">
        <v>5886626.0269098496</v>
      </c>
      <c r="D8" s="52">
        <v>7622373.1490519978</v>
      </c>
      <c r="E8" s="52">
        <v>6631550.6121356422</v>
      </c>
      <c r="F8" s="53">
        <v>6871741.458333333</v>
      </c>
      <c r="G8" s="52">
        <v>5290883.0000000009</v>
      </c>
      <c r="H8" s="54">
        <v>5311941</v>
      </c>
    </row>
    <row r="9" spans="1:8" ht="27.75" customHeight="1">
      <c r="A9" s="26">
        <v>10</v>
      </c>
      <c r="B9" s="55" t="s">
        <v>3</v>
      </c>
      <c r="C9" s="52">
        <v>101328120.33361945</v>
      </c>
      <c r="D9" s="52">
        <v>97674744.121863186</v>
      </c>
      <c r="E9" s="52">
        <v>98412330.725415766</v>
      </c>
      <c r="F9" s="53">
        <v>95234662.638073146</v>
      </c>
      <c r="G9" s="52">
        <v>77556885.054389164</v>
      </c>
      <c r="H9" s="54">
        <v>91359421</v>
      </c>
    </row>
    <row r="10" spans="1:8" ht="27.75" customHeight="1">
      <c r="A10" s="26">
        <v>30</v>
      </c>
      <c r="B10" s="55" t="s">
        <v>4</v>
      </c>
      <c r="C10" s="52">
        <v>25812197.801934861</v>
      </c>
      <c r="D10" s="52">
        <v>28451028.23563138</v>
      </c>
      <c r="E10" s="52">
        <v>30258586.490963008</v>
      </c>
      <c r="F10" s="53">
        <v>30348963.28009269</v>
      </c>
      <c r="G10" s="52">
        <v>39475376.996825412</v>
      </c>
      <c r="H10" s="54">
        <v>40115250</v>
      </c>
    </row>
    <row r="11" spans="1:8" ht="27.75" customHeight="1">
      <c r="A11" s="26">
        <v>16</v>
      </c>
      <c r="B11" s="55" t="s">
        <v>5</v>
      </c>
      <c r="C11" s="52">
        <v>2350454.5</v>
      </c>
      <c r="D11" s="52">
        <v>2149256</v>
      </c>
      <c r="E11" s="52">
        <v>2083477.566017316</v>
      </c>
      <c r="F11" s="53">
        <v>2033522</v>
      </c>
      <c r="G11" s="52">
        <v>1721328.5</v>
      </c>
      <c r="H11" s="54">
        <v>4547727</v>
      </c>
    </row>
    <row r="12" spans="1:8" ht="27.75" customHeight="1">
      <c r="A12" s="26">
        <v>18</v>
      </c>
      <c r="B12" s="55" t="s">
        <v>6</v>
      </c>
      <c r="C12" s="52">
        <v>82550007.660812408</v>
      </c>
      <c r="D12" s="52">
        <v>79878192.719994023</v>
      </c>
      <c r="E12" s="52">
        <v>79328558.761904776</v>
      </c>
      <c r="F12" s="53">
        <v>79262037.5</v>
      </c>
      <c r="G12" s="52">
        <v>82960818.142857134</v>
      </c>
      <c r="H12" s="54">
        <v>86834949</v>
      </c>
    </row>
    <row r="13" spans="1:8" ht="27.75" customHeight="1">
      <c r="A13" s="26">
        <v>23</v>
      </c>
      <c r="B13" s="55" t="s">
        <v>7</v>
      </c>
      <c r="C13" s="52">
        <v>117075888.11494307</v>
      </c>
      <c r="D13" s="52">
        <v>108630489.29785527</v>
      </c>
      <c r="E13" s="52">
        <v>117461954.15264523</v>
      </c>
      <c r="F13" s="53">
        <v>118979708.36277063</v>
      </c>
      <c r="G13" s="52">
        <v>106589248.63494399</v>
      </c>
      <c r="H13" s="54">
        <v>119696917</v>
      </c>
    </row>
    <row r="14" spans="1:8" ht="27.75" customHeight="1">
      <c r="A14" s="26">
        <v>14</v>
      </c>
      <c r="B14" s="55" t="s">
        <v>64</v>
      </c>
      <c r="C14" s="52">
        <v>7682006.7265998693</v>
      </c>
      <c r="D14" s="52">
        <v>7006652.269230769</v>
      </c>
      <c r="E14" s="52">
        <v>7135748.333333334</v>
      </c>
      <c r="F14" s="53">
        <v>6974023.9636363629</v>
      </c>
      <c r="G14" s="52">
        <v>6474222.0761904763</v>
      </c>
      <c r="H14" s="54">
        <v>6126599</v>
      </c>
    </row>
    <row r="15" spans="1:8" ht="27.75" customHeight="1">
      <c r="A15" s="26">
        <v>29</v>
      </c>
      <c r="B15" s="55" t="s">
        <v>8</v>
      </c>
      <c r="C15" s="52">
        <v>3700737.5</v>
      </c>
      <c r="D15" s="52">
        <v>2410391</v>
      </c>
      <c r="E15" s="52">
        <v>3514198.7</v>
      </c>
      <c r="F15" s="53">
        <v>3888367.8</v>
      </c>
      <c r="G15" s="52">
        <v>3409884.5333333332</v>
      </c>
      <c r="H15" s="54">
        <v>3880563</v>
      </c>
    </row>
    <row r="16" spans="1:8" ht="27.75" customHeight="1">
      <c r="A16" s="26">
        <v>9</v>
      </c>
      <c r="B16" s="55" t="s">
        <v>29</v>
      </c>
      <c r="C16" s="52">
        <v>38388512.487042643</v>
      </c>
      <c r="D16" s="52">
        <v>41224784.19282946</v>
      </c>
      <c r="E16" s="52">
        <v>43185542.637296043</v>
      </c>
      <c r="F16" s="53">
        <v>46112831.025097251</v>
      </c>
      <c r="G16" s="52">
        <v>58965711.726548664</v>
      </c>
      <c r="H16" s="54">
        <v>49240913</v>
      </c>
    </row>
    <row r="17" spans="1:8" ht="27.75" customHeight="1">
      <c r="A17" s="26">
        <v>28</v>
      </c>
      <c r="B17" s="55" t="s">
        <v>9</v>
      </c>
      <c r="C17" s="52">
        <v>16862367</v>
      </c>
      <c r="D17" s="52">
        <v>14208049.75</v>
      </c>
      <c r="E17" s="52">
        <v>15318890.166666668</v>
      </c>
      <c r="F17" s="53">
        <v>13565556.166666666</v>
      </c>
      <c r="G17" s="52">
        <v>13541217.433333334</v>
      </c>
      <c r="H17" s="54">
        <v>13189741</v>
      </c>
    </row>
    <row r="18" spans="1:8" ht="27.75" customHeight="1">
      <c r="A18" s="26">
        <v>6</v>
      </c>
      <c r="B18" s="55" t="s">
        <v>10</v>
      </c>
      <c r="C18" s="52">
        <v>310328574.95855469</v>
      </c>
      <c r="D18" s="52">
        <v>297011500.57928115</v>
      </c>
      <c r="E18" s="52">
        <v>261283791.25153965</v>
      </c>
      <c r="F18" s="53">
        <v>256709332.09714288</v>
      </c>
      <c r="G18" s="52">
        <v>274019887.02380949</v>
      </c>
      <c r="H18" s="54">
        <v>244520520</v>
      </c>
    </row>
    <row r="19" spans="1:8" ht="27.75" customHeight="1">
      <c r="A19" s="26">
        <v>19</v>
      </c>
      <c r="B19" s="55" t="s">
        <v>11</v>
      </c>
      <c r="C19" s="52">
        <v>11655518.768921796</v>
      </c>
      <c r="D19" s="52">
        <v>13650893.926190475</v>
      </c>
      <c r="E19" s="52">
        <v>16030581.3212121</v>
      </c>
      <c r="F19" s="53">
        <v>17574854.10952381</v>
      </c>
      <c r="G19" s="52">
        <v>24949135.583333332</v>
      </c>
      <c r="H19" s="54">
        <v>31189219</v>
      </c>
    </row>
    <row r="20" spans="1:8" ht="27.75" customHeight="1">
      <c r="A20" s="26">
        <v>20</v>
      </c>
      <c r="B20" s="55" t="s">
        <v>12</v>
      </c>
      <c r="C20" s="52">
        <v>40128611.735443689</v>
      </c>
      <c r="D20" s="52">
        <v>37614462.63056653</v>
      </c>
      <c r="E20" s="52">
        <v>31000129.574841272</v>
      </c>
      <c r="F20" s="53">
        <v>29444222.453015469</v>
      </c>
      <c r="G20" s="52">
        <v>29585642.770063274</v>
      </c>
      <c r="H20" s="54">
        <v>30976833</v>
      </c>
    </row>
    <row r="21" spans="1:8" ht="27.75" customHeight="1">
      <c r="A21" s="26">
        <v>11</v>
      </c>
      <c r="B21" s="55" t="s">
        <v>30</v>
      </c>
      <c r="C21" s="52">
        <v>3823748.2071145261</v>
      </c>
      <c r="D21" s="52">
        <v>3259355.688376721</v>
      </c>
      <c r="E21" s="52">
        <v>3550838.1321428572</v>
      </c>
      <c r="F21" s="53">
        <v>3605642.459848484</v>
      </c>
      <c r="G21" s="52">
        <v>3271081.3727938742</v>
      </c>
      <c r="H21" s="54">
        <v>3234469</v>
      </c>
    </row>
    <row r="22" spans="1:8" ht="27.75" customHeight="1">
      <c r="A22" s="26">
        <v>7</v>
      </c>
      <c r="B22" s="55" t="s">
        <v>13</v>
      </c>
      <c r="C22" s="52">
        <v>29843917.998962939</v>
      </c>
      <c r="D22" s="52">
        <v>32382006.26997954</v>
      </c>
      <c r="E22" s="52">
        <v>35648209.938671008</v>
      </c>
      <c r="F22" s="53">
        <v>44593511.711511575</v>
      </c>
      <c r="G22" s="52">
        <v>52353768.278768867</v>
      </c>
      <c r="H22" s="54">
        <v>56698218</v>
      </c>
    </row>
    <row r="23" spans="1:8" ht="27.75" customHeight="1">
      <c r="A23" s="26">
        <v>26</v>
      </c>
      <c r="B23" s="55" t="s">
        <v>14</v>
      </c>
      <c r="C23" s="52">
        <v>31694260.073232576</v>
      </c>
      <c r="D23" s="52">
        <v>34369947.426899962</v>
      </c>
      <c r="E23" s="52">
        <v>38349497.559018679</v>
      </c>
      <c r="F23" s="53">
        <v>38559868.732692309</v>
      </c>
      <c r="G23" s="52">
        <v>47835527.317460351</v>
      </c>
      <c r="H23" s="54">
        <v>38614960</v>
      </c>
    </row>
    <row r="24" spans="1:8" ht="27.75" customHeight="1">
      <c r="A24" s="26">
        <v>25</v>
      </c>
      <c r="B24" s="55" t="s">
        <v>15</v>
      </c>
      <c r="C24" s="52">
        <v>7224824.936491861</v>
      </c>
      <c r="D24" s="52">
        <v>7884229.472428455</v>
      </c>
      <c r="E24" s="52">
        <v>8364202.9366666665</v>
      </c>
      <c r="F24" s="53">
        <v>8958232.4286796525</v>
      </c>
      <c r="G24" s="52">
        <v>12381180.363888886</v>
      </c>
      <c r="H24" s="54">
        <v>16381813</v>
      </c>
    </row>
    <row r="25" spans="1:8" ht="27.75" customHeight="1">
      <c r="A25" s="26">
        <v>12</v>
      </c>
      <c r="B25" s="55" t="s">
        <v>16</v>
      </c>
      <c r="C25" s="52">
        <v>2262075.9529502941</v>
      </c>
      <c r="D25" s="52">
        <v>2311067.4844393572</v>
      </c>
      <c r="E25" s="52">
        <v>1910974.9999999998</v>
      </c>
      <c r="F25" s="53">
        <v>1991431.9940476192</v>
      </c>
      <c r="G25" s="52">
        <v>4152067.6071428568</v>
      </c>
      <c r="H25" s="54">
        <v>5662833</v>
      </c>
    </row>
    <row r="26" spans="1:8" ht="27.75" customHeight="1">
      <c r="A26" s="26">
        <v>8</v>
      </c>
      <c r="B26" s="55" t="s">
        <v>17</v>
      </c>
      <c r="C26" s="52">
        <v>34092163.65624778</v>
      </c>
      <c r="D26" s="52">
        <v>30886713.308698829</v>
      </c>
      <c r="E26" s="52">
        <v>31940591.964285716</v>
      </c>
      <c r="F26" s="53">
        <v>30853425.356594384</v>
      </c>
      <c r="G26" s="52">
        <v>33755452.793344893</v>
      </c>
      <c r="H26" s="54">
        <v>44231998</v>
      </c>
    </row>
    <row r="27" spans="1:8" ht="27.75" customHeight="1">
      <c r="A27" s="26">
        <v>5</v>
      </c>
      <c r="B27" s="55" t="s">
        <v>18</v>
      </c>
      <c r="C27" s="52">
        <v>15759134.492307905</v>
      </c>
      <c r="D27" s="52">
        <v>15200185.690043945</v>
      </c>
      <c r="E27" s="52">
        <v>14948078.383333335</v>
      </c>
      <c r="F27" s="53">
        <v>15087783.25</v>
      </c>
      <c r="G27" s="52">
        <v>16209149.75</v>
      </c>
      <c r="H27" s="54">
        <v>16293745</v>
      </c>
    </row>
    <row r="28" spans="1:8" ht="27.75" customHeight="1">
      <c r="A28" s="26">
        <v>17</v>
      </c>
      <c r="B28" s="55" t="s">
        <v>65</v>
      </c>
      <c r="C28" s="52">
        <v>3527674</v>
      </c>
      <c r="D28" s="52">
        <v>4059333</v>
      </c>
      <c r="E28" s="52">
        <v>3436046.5</v>
      </c>
      <c r="F28" s="53">
        <v>2029651</v>
      </c>
      <c r="G28" s="52">
        <v>1204585.8333333335</v>
      </c>
      <c r="H28" s="54">
        <v>1452229</v>
      </c>
    </row>
    <row r="29" spans="1:8" ht="27.75" customHeight="1">
      <c r="A29" s="26">
        <v>27</v>
      </c>
      <c r="B29" s="55" t="s">
        <v>19</v>
      </c>
      <c r="C29" s="52">
        <v>6067605.3763478585</v>
      </c>
      <c r="D29" s="52">
        <v>6689296.1764069246</v>
      </c>
      <c r="E29" s="52">
        <v>5723430.1633366654</v>
      </c>
      <c r="F29" s="53">
        <v>5605737.3999999994</v>
      </c>
      <c r="G29" s="52">
        <v>5315490.1904761912</v>
      </c>
      <c r="H29" s="54">
        <v>6901647</v>
      </c>
    </row>
    <row r="30" spans="1:8" ht="27.75" customHeight="1">
      <c r="A30" s="56">
        <v>1</v>
      </c>
      <c r="B30" s="55" t="s">
        <v>20</v>
      </c>
      <c r="C30" s="52">
        <v>15134632.805645317</v>
      </c>
      <c r="D30" s="52">
        <v>14244457.208265752</v>
      </c>
      <c r="E30" s="52">
        <v>13394028.183300657</v>
      </c>
      <c r="F30" s="53">
        <v>12206783.36286075</v>
      </c>
      <c r="G30" s="52">
        <v>10091978.268939393</v>
      </c>
      <c r="H30" s="54">
        <v>10671397</v>
      </c>
    </row>
    <row r="31" spans="1:8" ht="27.75" customHeight="1">
      <c r="A31" s="26">
        <v>15</v>
      </c>
      <c r="B31" s="55" t="s">
        <v>21</v>
      </c>
      <c r="C31" s="52">
        <v>6154669.5454443283</v>
      </c>
      <c r="D31" s="52">
        <v>5523988.2874800693</v>
      </c>
      <c r="E31" s="52">
        <v>3785216.3838612377</v>
      </c>
      <c r="F31" s="53">
        <v>4060067.7686868687</v>
      </c>
      <c r="G31" s="52">
        <v>5301340.1428571427</v>
      </c>
      <c r="H31" s="54">
        <v>6402197</v>
      </c>
    </row>
    <row r="32" spans="1:8" ht="27.75" customHeight="1">
      <c r="A32" s="26">
        <v>2</v>
      </c>
      <c r="B32" s="55" t="s">
        <v>22</v>
      </c>
      <c r="C32" s="52">
        <v>18895620.864092737</v>
      </c>
      <c r="D32" s="52">
        <v>21604187.908750456</v>
      </c>
      <c r="E32" s="52">
        <v>21591512.370451771</v>
      </c>
      <c r="F32" s="53">
        <v>20303888.578921568</v>
      </c>
      <c r="G32" s="52">
        <v>15570400.881126389</v>
      </c>
      <c r="H32" s="54">
        <v>14843201</v>
      </c>
    </row>
    <row r="33" spans="1:8" ht="27.75" customHeight="1">
      <c r="A33" s="26">
        <v>0</v>
      </c>
      <c r="B33" s="55" t="s">
        <v>32</v>
      </c>
      <c r="C33" s="52">
        <v>67224739.439310104</v>
      </c>
      <c r="D33" s="52">
        <v>65520324.691982239</v>
      </c>
      <c r="E33" s="52">
        <v>64105785.993425682</v>
      </c>
      <c r="F33" s="53">
        <v>63085817.494065404</v>
      </c>
      <c r="G33" s="52">
        <v>53423539.294100791</v>
      </c>
      <c r="H33" s="54">
        <v>51727702</v>
      </c>
    </row>
    <row r="34" spans="1:8" ht="27.75" customHeight="1">
      <c r="A34" s="26">
        <v>22</v>
      </c>
      <c r="B34" s="55" t="s">
        <v>23</v>
      </c>
      <c r="C34" s="52">
        <v>103327695.64074892</v>
      </c>
      <c r="D34" s="52">
        <v>89284860.930921167</v>
      </c>
      <c r="E34" s="52">
        <v>87172316.697802186</v>
      </c>
      <c r="F34" s="53">
        <v>84676644.306746051</v>
      </c>
      <c r="G34" s="52">
        <v>93712426.7910714</v>
      </c>
      <c r="H34" s="54">
        <v>60268531</v>
      </c>
    </row>
    <row r="35" spans="1:8" ht="27.75" customHeight="1">
      <c r="A35" s="26">
        <v>13</v>
      </c>
      <c r="B35" s="55" t="s">
        <v>24</v>
      </c>
      <c r="C35" s="52">
        <v>9556121.0734301172</v>
      </c>
      <c r="D35" s="52">
        <v>10950217.011315392</v>
      </c>
      <c r="E35" s="52">
        <v>10061184.092857147</v>
      </c>
      <c r="F35" s="53">
        <v>8705823.3166666701</v>
      </c>
      <c r="G35" s="52">
        <v>6080301.166666667</v>
      </c>
      <c r="H35" s="54">
        <v>4553540</v>
      </c>
    </row>
    <row r="36" spans="1:8" ht="27.75" customHeight="1" thickBot="1">
      <c r="A36" s="27">
        <v>21</v>
      </c>
      <c r="B36" s="57" t="s">
        <v>25</v>
      </c>
      <c r="C36" s="58">
        <v>18393575.030658226</v>
      </c>
      <c r="D36" s="58">
        <v>23247826.15005032</v>
      </c>
      <c r="E36" s="58">
        <v>23729244.299825836</v>
      </c>
      <c r="F36" s="59">
        <v>24136055.319444444</v>
      </c>
      <c r="G36" s="58">
        <v>37827212.205119632</v>
      </c>
      <c r="H36" s="60">
        <v>37831898</v>
      </c>
    </row>
    <row r="37" spans="1:8" ht="27.75" customHeight="1">
      <c r="H37" s="20"/>
    </row>
  </sheetData>
  <mergeCells count="4">
    <mergeCell ref="A3:A4"/>
    <mergeCell ref="B3:B4"/>
    <mergeCell ref="A2:H2"/>
    <mergeCell ref="C3:H3"/>
  </mergeCells>
  <pageMargins left="0.75" right="0.75" top="1" bottom="1" header="0.5" footer="0.5"/>
  <pageSetup paperSize="0" orientation="portrait" horizontalDpi="0" verticalDpi="0" copies="0"/>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D125-E065-4A08-85F6-4423754A84E3}">
  <dimension ref="A1:H37"/>
  <sheetViews>
    <sheetView rightToLeft="1" workbookViewId="0">
      <selection activeCell="C4" sqref="C4:H4"/>
    </sheetView>
  </sheetViews>
  <sheetFormatPr defaultRowHeight="26.25" customHeight="1"/>
  <cols>
    <col min="1" max="1" width="15.28515625" style="20" bestFit="1" customWidth="1"/>
    <col min="2" max="2" width="52.7109375" style="20" customWidth="1"/>
    <col min="3" max="6" width="19" style="20" customWidth="1"/>
    <col min="7" max="7" width="19" style="32" customWidth="1"/>
    <col min="8" max="8" width="15.7109375" style="32" customWidth="1"/>
    <col min="9" max="16384" width="9.140625" style="20"/>
  </cols>
  <sheetData>
    <row r="1" spans="1:8" ht="26.25" customHeight="1">
      <c r="A1" s="33" t="s">
        <v>97</v>
      </c>
    </row>
    <row r="2" spans="1:8" ht="26.25" customHeight="1" thickBot="1">
      <c r="A2" s="116" t="s">
        <v>103</v>
      </c>
      <c r="B2" s="116"/>
      <c r="C2" s="108"/>
      <c r="D2" s="108"/>
      <c r="E2" s="108"/>
      <c r="F2" s="108"/>
      <c r="G2" s="108"/>
      <c r="H2" s="20"/>
    </row>
    <row r="3" spans="1:8" ht="26.25" customHeight="1">
      <c r="A3" s="120" t="s">
        <v>34</v>
      </c>
      <c r="B3" s="112" t="s">
        <v>35</v>
      </c>
      <c r="C3" s="124" t="s">
        <v>49</v>
      </c>
      <c r="D3" s="125"/>
      <c r="E3" s="125"/>
      <c r="F3" s="125"/>
      <c r="G3" s="125"/>
      <c r="H3" s="126"/>
    </row>
    <row r="4" spans="1:8" ht="26.25" customHeight="1">
      <c r="A4" s="121"/>
      <c r="B4" s="113"/>
      <c r="C4" s="99">
        <v>1394</v>
      </c>
      <c r="D4" s="99">
        <v>1395</v>
      </c>
      <c r="E4" s="70">
        <v>1396</v>
      </c>
      <c r="F4" s="70">
        <v>1397</v>
      </c>
      <c r="G4" s="99">
        <v>1398</v>
      </c>
      <c r="H4" s="71">
        <v>1399</v>
      </c>
    </row>
    <row r="5" spans="1:8" ht="26.25" customHeight="1">
      <c r="A5" s="61"/>
      <c r="B5" s="23" t="s">
        <v>36</v>
      </c>
      <c r="C5" s="52">
        <v>814702728.84626997</v>
      </c>
      <c r="D5" s="52">
        <v>775493677.14102793</v>
      </c>
      <c r="E5" s="53">
        <v>774588200.83914578</v>
      </c>
      <c r="F5" s="53">
        <v>776590684.2932682</v>
      </c>
      <c r="G5" s="52">
        <v>844108536.43342745</v>
      </c>
      <c r="H5" s="54">
        <v>835144660</v>
      </c>
    </row>
    <row r="6" spans="1:8" ht="26.25" customHeight="1">
      <c r="A6" s="26">
        <v>10</v>
      </c>
      <c r="B6" s="23" t="s">
        <v>37</v>
      </c>
      <c r="C6" s="52">
        <v>106814306.42236234</v>
      </c>
      <c r="D6" s="52">
        <v>125306363.25117831</v>
      </c>
      <c r="E6" s="53">
        <v>142280972.01952752</v>
      </c>
      <c r="F6" s="53">
        <v>144216782.12857392</v>
      </c>
      <c r="G6" s="53">
        <v>180168120.52277336</v>
      </c>
      <c r="H6" s="54">
        <v>178831684</v>
      </c>
    </row>
    <row r="7" spans="1:8" ht="26.25" customHeight="1">
      <c r="A7" s="26">
        <v>11</v>
      </c>
      <c r="B7" s="23" t="s">
        <v>38</v>
      </c>
      <c r="C7" s="52">
        <v>8712293</v>
      </c>
      <c r="D7" s="52">
        <v>12019886.833333334</v>
      </c>
      <c r="E7" s="53">
        <v>12597940.341269841</v>
      </c>
      <c r="F7" s="53">
        <v>14256443.774725273</v>
      </c>
      <c r="G7" s="53">
        <v>14799679.928571429</v>
      </c>
      <c r="H7" s="54">
        <v>16724538</v>
      </c>
    </row>
    <row r="8" spans="1:8" ht="26.25" customHeight="1">
      <c r="A8" s="26">
        <v>12</v>
      </c>
      <c r="B8" s="23" t="s">
        <v>39</v>
      </c>
      <c r="C8" s="52">
        <v>95002</v>
      </c>
      <c r="D8" s="52">
        <v>91731</v>
      </c>
      <c r="E8" s="53">
        <v>95905</v>
      </c>
      <c r="F8" s="53">
        <v>117445</v>
      </c>
      <c r="G8" s="53">
        <v>184071</v>
      </c>
      <c r="H8" s="54">
        <v>180546</v>
      </c>
    </row>
    <row r="9" spans="1:8" ht="26.25" customHeight="1">
      <c r="A9" s="26">
        <v>13</v>
      </c>
      <c r="B9" s="23" t="s">
        <v>40</v>
      </c>
      <c r="C9" s="52">
        <v>16463655.203807844</v>
      </c>
      <c r="D9" s="52">
        <v>19707295.881055716</v>
      </c>
      <c r="E9" s="53">
        <v>21527838.595946096</v>
      </c>
      <c r="F9" s="53">
        <v>22076640.401641317</v>
      </c>
      <c r="G9" s="53">
        <v>22758685.816670462</v>
      </c>
      <c r="H9" s="54">
        <v>25332071</v>
      </c>
    </row>
    <row r="10" spans="1:8" ht="26.25" customHeight="1">
      <c r="A10" s="26">
        <v>14</v>
      </c>
      <c r="B10" s="23" t="s">
        <v>41</v>
      </c>
      <c r="C10" s="52">
        <v>856541.22727272729</v>
      </c>
      <c r="D10" s="52">
        <v>1084299.4990810556</v>
      </c>
      <c r="E10" s="53">
        <v>1189773.5188034188</v>
      </c>
      <c r="F10" s="53">
        <v>1879875.3790542788</v>
      </c>
      <c r="G10" s="53">
        <v>1324601.5043290043</v>
      </c>
      <c r="H10" s="54">
        <v>2219673</v>
      </c>
    </row>
    <row r="11" spans="1:8" ht="26.25" customHeight="1">
      <c r="A11" s="26">
        <v>15</v>
      </c>
      <c r="B11" s="23" t="s">
        <v>50</v>
      </c>
      <c r="C11" s="52">
        <v>2988546.3333333335</v>
      </c>
      <c r="D11" s="52">
        <v>3109369.3979472141</v>
      </c>
      <c r="E11" s="53">
        <v>2755901.2729551154</v>
      </c>
      <c r="F11" s="53">
        <v>2547687.6503417636</v>
      </c>
      <c r="G11" s="53">
        <v>1941232.6348484848</v>
      </c>
      <c r="H11" s="54">
        <v>2315688</v>
      </c>
    </row>
    <row r="12" spans="1:8" ht="26.25" customHeight="1">
      <c r="A12" s="26">
        <v>16</v>
      </c>
      <c r="B12" s="23" t="s">
        <v>59</v>
      </c>
      <c r="C12" s="52">
        <v>1568917.5</v>
      </c>
      <c r="D12" s="52">
        <v>2018397.6058182893</v>
      </c>
      <c r="E12" s="53">
        <v>2296628.3018701873</v>
      </c>
      <c r="F12" s="53">
        <v>2424814.3744588746</v>
      </c>
      <c r="G12" s="53">
        <v>1909588.7542735045</v>
      </c>
      <c r="H12" s="54">
        <v>2337264</v>
      </c>
    </row>
    <row r="13" spans="1:8" ht="26.25" customHeight="1">
      <c r="A13" s="26">
        <v>17</v>
      </c>
      <c r="B13" s="23" t="s">
        <v>51</v>
      </c>
      <c r="C13" s="52">
        <v>16046182.180437658</v>
      </c>
      <c r="D13" s="52">
        <v>18526629.746725444</v>
      </c>
      <c r="E13" s="53">
        <v>17512936.433782883</v>
      </c>
      <c r="F13" s="53">
        <v>17877102.263396986</v>
      </c>
      <c r="G13" s="53">
        <v>17507465.666666668</v>
      </c>
      <c r="H13" s="54">
        <v>18969369</v>
      </c>
    </row>
    <row r="14" spans="1:8" ht="26.25" customHeight="1">
      <c r="A14" s="26">
        <v>18</v>
      </c>
      <c r="B14" s="23" t="s">
        <v>42</v>
      </c>
      <c r="C14" s="52">
        <v>1316886.1058593513</v>
      </c>
      <c r="D14" s="52">
        <v>1794691.8454648524</v>
      </c>
      <c r="E14" s="53">
        <v>2269747.8791027046</v>
      </c>
      <c r="F14" s="53">
        <v>2203678.7905251607</v>
      </c>
      <c r="G14" s="53">
        <v>2555708.0172152328</v>
      </c>
      <c r="H14" s="54">
        <v>3602970</v>
      </c>
    </row>
    <row r="15" spans="1:8" ht="26.25" customHeight="1">
      <c r="A15" s="26">
        <v>19</v>
      </c>
      <c r="B15" s="23" t="s">
        <v>52</v>
      </c>
      <c r="C15" s="52">
        <v>162852696.41666666</v>
      </c>
      <c r="D15" s="52">
        <v>149142258.45476189</v>
      </c>
      <c r="E15" s="53">
        <v>147796389.70833337</v>
      </c>
      <c r="F15" s="53">
        <v>142707879.90000001</v>
      </c>
      <c r="G15" s="53">
        <v>151332632.53333333</v>
      </c>
      <c r="H15" s="54">
        <v>87390416</v>
      </c>
    </row>
    <row r="16" spans="1:8" ht="26.25" customHeight="1">
      <c r="A16" s="26">
        <v>20</v>
      </c>
      <c r="B16" s="23" t="s">
        <v>60</v>
      </c>
      <c r="C16" s="52">
        <v>191451502.66666666</v>
      </c>
      <c r="D16" s="52">
        <v>165673961.55239522</v>
      </c>
      <c r="E16" s="53">
        <v>134358281.18098399</v>
      </c>
      <c r="F16" s="53">
        <v>139088721.83108389</v>
      </c>
      <c r="G16" s="53">
        <v>144384781.88221076</v>
      </c>
      <c r="H16" s="54">
        <v>150278227</v>
      </c>
    </row>
    <row r="17" spans="1:8" ht="26.25" customHeight="1">
      <c r="A17" s="26">
        <v>21</v>
      </c>
      <c r="B17" s="23" t="s">
        <v>61</v>
      </c>
      <c r="C17" s="52">
        <v>4448840.3809523806</v>
      </c>
      <c r="D17" s="52">
        <v>5151175.2091013826</v>
      </c>
      <c r="E17" s="53">
        <v>6090634.0619047619</v>
      </c>
      <c r="F17" s="53">
        <v>6103167.1720202016</v>
      </c>
      <c r="G17" s="53">
        <v>6563032.6333333328</v>
      </c>
      <c r="H17" s="54">
        <v>7323772</v>
      </c>
    </row>
    <row r="18" spans="1:8" ht="26.25" customHeight="1">
      <c r="A18" s="26">
        <v>22</v>
      </c>
      <c r="B18" s="23" t="s">
        <v>62</v>
      </c>
      <c r="C18" s="52">
        <v>32314442.40888796</v>
      </c>
      <c r="D18" s="52">
        <v>25997870.120997496</v>
      </c>
      <c r="E18" s="53">
        <v>27828114.249457918</v>
      </c>
      <c r="F18" s="53">
        <v>25046570.95976074</v>
      </c>
      <c r="G18" s="53">
        <v>26003869.689977761</v>
      </c>
      <c r="H18" s="54">
        <v>33058812</v>
      </c>
    </row>
    <row r="19" spans="1:8" ht="26.25" customHeight="1">
      <c r="A19" s="26">
        <v>23</v>
      </c>
      <c r="B19" s="23" t="s">
        <v>63</v>
      </c>
      <c r="C19" s="52">
        <v>78488058.932466522</v>
      </c>
      <c r="D19" s="52">
        <v>68941517.017671555</v>
      </c>
      <c r="E19" s="53">
        <v>74657949.495822683</v>
      </c>
      <c r="F19" s="53">
        <v>76018176.854577959</v>
      </c>
      <c r="G19" s="53">
        <v>77588547.253239989</v>
      </c>
      <c r="H19" s="54">
        <v>78350720</v>
      </c>
    </row>
    <row r="20" spans="1:8" ht="26.25" customHeight="1">
      <c r="A20" s="26">
        <v>24</v>
      </c>
      <c r="B20" s="23" t="s">
        <v>43</v>
      </c>
      <c r="C20" s="52">
        <v>120609719.11275844</v>
      </c>
      <c r="D20" s="52">
        <v>109388042.22607197</v>
      </c>
      <c r="E20" s="53">
        <v>110836841.55919786</v>
      </c>
      <c r="F20" s="53">
        <v>114133628.55237368</v>
      </c>
      <c r="G20" s="53">
        <v>116248649.42787416</v>
      </c>
      <c r="H20" s="54">
        <v>132558982</v>
      </c>
    </row>
    <row r="21" spans="1:8" ht="26.25" customHeight="1">
      <c r="A21" s="26">
        <v>25</v>
      </c>
      <c r="B21" s="23" t="s">
        <v>53</v>
      </c>
      <c r="C21" s="52">
        <v>20222017.648540985</v>
      </c>
      <c r="D21" s="52">
        <v>16573618.348318458</v>
      </c>
      <c r="E21" s="53">
        <v>17089803.289188147</v>
      </c>
      <c r="F21" s="53">
        <v>16862040.981029056</v>
      </c>
      <c r="G21" s="53">
        <v>19504870.549756203</v>
      </c>
      <c r="H21" s="54">
        <v>25475697</v>
      </c>
    </row>
    <row r="22" spans="1:8" ht="26.25" customHeight="1">
      <c r="A22" s="26">
        <v>26</v>
      </c>
      <c r="B22" s="23" t="s">
        <v>54</v>
      </c>
      <c r="C22" s="52">
        <v>1762296</v>
      </c>
      <c r="D22" s="52">
        <v>2038422.3470695969</v>
      </c>
      <c r="E22" s="53">
        <v>3373692.5217086836</v>
      </c>
      <c r="F22" s="53">
        <v>3085270.7166666663</v>
      </c>
      <c r="G22" s="53">
        <v>3054617.3762772321</v>
      </c>
      <c r="H22" s="54">
        <v>3278934</v>
      </c>
    </row>
    <row r="23" spans="1:8" ht="26.25" customHeight="1">
      <c r="A23" s="26">
        <v>27</v>
      </c>
      <c r="B23" s="23" t="s">
        <v>44</v>
      </c>
      <c r="C23" s="52">
        <v>7806513.3684323272</v>
      </c>
      <c r="D23" s="52">
        <v>10040668.359022515</v>
      </c>
      <c r="E23" s="53">
        <v>9665647.8223875556</v>
      </c>
      <c r="F23" s="53">
        <v>11140778.043181818</v>
      </c>
      <c r="G23" s="53">
        <v>12863116.840258261</v>
      </c>
      <c r="H23" s="54">
        <v>14476776</v>
      </c>
    </row>
    <row r="24" spans="1:8" ht="26.25" customHeight="1">
      <c r="A24" s="26">
        <v>28</v>
      </c>
      <c r="B24" s="23" t="s">
        <v>55</v>
      </c>
      <c r="C24" s="52">
        <v>11458515.288701186</v>
      </c>
      <c r="D24" s="52">
        <v>10309243.809926186</v>
      </c>
      <c r="E24" s="53">
        <v>13354366.703030266</v>
      </c>
      <c r="F24" s="53">
        <v>11746022.45198272</v>
      </c>
      <c r="G24" s="53">
        <v>15129382.222464321</v>
      </c>
      <c r="H24" s="54">
        <v>16765909</v>
      </c>
    </row>
    <row r="25" spans="1:8" ht="26.25" customHeight="1">
      <c r="A25" s="26">
        <v>29</v>
      </c>
      <c r="B25" s="23" t="s">
        <v>56</v>
      </c>
      <c r="C25" s="52">
        <v>19588423.946122177</v>
      </c>
      <c r="D25" s="52">
        <v>18745670.536426365</v>
      </c>
      <c r="E25" s="53">
        <v>17678609.021848865</v>
      </c>
      <c r="F25" s="53">
        <v>13221602.488775114</v>
      </c>
      <c r="G25" s="53">
        <v>18040718.417839464</v>
      </c>
      <c r="H25" s="54">
        <v>25200258</v>
      </c>
    </row>
    <row r="26" spans="1:8" ht="26.25" customHeight="1">
      <c r="A26" s="26">
        <v>30</v>
      </c>
      <c r="B26" s="23" t="s">
        <v>45</v>
      </c>
      <c r="C26" s="52">
        <v>2819591.1140492633</v>
      </c>
      <c r="D26" s="52">
        <v>2971127.2726958799</v>
      </c>
      <c r="E26" s="53">
        <v>2697481.5</v>
      </c>
      <c r="F26" s="53">
        <v>3010773.777777778</v>
      </c>
      <c r="G26" s="53">
        <v>3060135.8847167324</v>
      </c>
      <c r="H26" s="54">
        <v>3572422</v>
      </c>
    </row>
    <row r="27" spans="1:8" ht="26.25" customHeight="1">
      <c r="A27" s="26">
        <v>31</v>
      </c>
      <c r="B27" s="23" t="s">
        <v>46</v>
      </c>
      <c r="C27" s="52">
        <v>3377115.7556189219</v>
      </c>
      <c r="D27" s="52">
        <v>3378144.8935727621</v>
      </c>
      <c r="E27" s="53">
        <v>2552571.2193120741</v>
      </c>
      <c r="F27" s="53">
        <v>2052468.6857941421</v>
      </c>
      <c r="G27" s="53">
        <v>2043201.5140695928</v>
      </c>
      <c r="H27" s="54">
        <v>1984510</v>
      </c>
    </row>
    <row r="28" spans="1:8" ht="26.25" customHeight="1">
      <c r="A28" s="26">
        <v>32</v>
      </c>
      <c r="B28" s="23" t="s">
        <v>57</v>
      </c>
      <c r="C28" s="52">
        <v>1987072.8333333335</v>
      </c>
      <c r="D28" s="52">
        <v>2499235.2538211788</v>
      </c>
      <c r="E28" s="53">
        <v>3027582.1080960599</v>
      </c>
      <c r="F28" s="53">
        <v>3817425.6155270245</v>
      </c>
      <c r="G28" s="53">
        <v>3173114.8627276099</v>
      </c>
      <c r="H28" s="54">
        <v>3810953</v>
      </c>
    </row>
    <row r="29" spans="1:8" ht="26.25" customHeight="1" thickBot="1">
      <c r="A29" s="27">
        <v>33</v>
      </c>
      <c r="B29" s="28" t="s">
        <v>58</v>
      </c>
      <c r="C29" s="58">
        <v>653593</v>
      </c>
      <c r="D29" s="58">
        <v>984056.67857142852</v>
      </c>
      <c r="E29" s="59">
        <v>1052593.0346153846</v>
      </c>
      <c r="F29" s="59">
        <v>955686.5</v>
      </c>
      <c r="G29" s="59">
        <v>1968711.5</v>
      </c>
      <c r="H29" s="60">
        <v>1100462</v>
      </c>
    </row>
    <row r="30" spans="1:8" ht="26.25" customHeight="1">
      <c r="H30" s="20"/>
    </row>
    <row r="31" spans="1:8" ht="26.25" customHeight="1">
      <c r="H31" s="20"/>
    </row>
    <row r="32" spans="1:8" ht="26.25" customHeight="1">
      <c r="H32" s="20"/>
    </row>
    <row r="33" spans="8:8" ht="26.25" customHeight="1">
      <c r="H33" s="20"/>
    </row>
    <row r="34" spans="8:8" ht="26.25" customHeight="1">
      <c r="H34" s="20"/>
    </row>
    <row r="35" spans="8:8" ht="26.25" customHeight="1">
      <c r="H35" s="20"/>
    </row>
    <row r="36" spans="8:8" ht="26.25" customHeight="1">
      <c r="H36" s="20"/>
    </row>
    <row r="37" spans="8:8" ht="26.25" customHeight="1">
      <c r="H37" s="20"/>
    </row>
  </sheetData>
  <mergeCells count="4">
    <mergeCell ref="A3:A4"/>
    <mergeCell ref="B3:B4"/>
    <mergeCell ref="A2:G2"/>
    <mergeCell ref="C3:H3"/>
  </mergeCells>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BFB0-4478-402F-9394-0DA67F8FF5E4}">
  <dimension ref="A1:J36"/>
  <sheetViews>
    <sheetView rightToLeft="1" workbookViewId="0">
      <selection activeCell="C4" sqref="C4:H4"/>
    </sheetView>
  </sheetViews>
  <sheetFormatPr defaultRowHeight="26.25" customHeight="1"/>
  <cols>
    <col min="1" max="1" width="9.140625" style="20"/>
    <col min="2" max="7" width="19" style="20" customWidth="1"/>
    <col min="8" max="8" width="18" style="20" customWidth="1"/>
    <col min="9" max="9" width="11.85546875" style="20" bestFit="1" customWidth="1"/>
    <col min="10" max="16384" width="9.140625" style="20"/>
  </cols>
  <sheetData>
    <row r="1" spans="1:10" ht="26.25" customHeight="1">
      <c r="A1" s="33" t="s">
        <v>97</v>
      </c>
    </row>
    <row r="2" spans="1:10" ht="26.25" customHeight="1" thickBot="1">
      <c r="A2" s="127" t="s">
        <v>104</v>
      </c>
      <c r="B2" s="127"/>
      <c r="C2" s="127"/>
      <c r="D2" s="127"/>
      <c r="E2" s="127"/>
      <c r="F2" s="127"/>
      <c r="G2" s="127"/>
      <c r="H2" s="127"/>
      <c r="I2" s="63"/>
      <c r="J2" s="64"/>
    </row>
    <row r="3" spans="1:10" ht="26.25" customHeight="1">
      <c r="A3" s="120" t="s">
        <v>48</v>
      </c>
      <c r="B3" s="122" t="s">
        <v>27</v>
      </c>
      <c r="C3" s="124" t="s">
        <v>49</v>
      </c>
      <c r="D3" s="125"/>
      <c r="E3" s="125"/>
      <c r="F3" s="125"/>
      <c r="G3" s="125"/>
      <c r="H3" s="126"/>
    </row>
    <row r="4" spans="1:10" ht="26.25" customHeight="1">
      <c r="A4" s="121"/>
      <c r="B4" s="123"/>
      <c r="C4" s="99">
        <v>1394</v>
      </c>
      <c r="D4" s="99">
        <v>1395</v>
      </c>
      <c r="E4" s="70">
        <v>1396</v>
      </c>
      <c r="F4" s="70">
        <v>1397</v>
      </c>
      <c r="G4" s="99">
        <v>1398</v>
      </c>
      <c r="H4" s="71">
        <v>1399</v>
      </c>
    </row>
    <row r="5" spans="1:10" ht="26.25" customHeight="1">
      <c r="A5" s="61"/>
      <c r="B5" s="65" t="s">
        <v>28</v>
      </c>
      <c r="C5" s="52">
        <v>814702728.84626949</v>
      </c>
      <c r="D5" s="52">
        <v>775493677.14102721</v>
      </c>
      <c r="E5" s="53">
        <v>774588200.83914471</v>
      </c>
      <c r="F5" s="53">
        <v>776590684.29326725</v>
      </c>
      <c r="G5" s="52">
        <v>844108536.43342674</v>
      </c>
      <c r="H5" s="54">
        <v>835144660</v>
      </c>
    </row>
    <row r="6" spans="1:10" ht="26.25" customHeight="1">
      <c r="A6" s="26">
        <v>3</v>
      </c>
      <c r="B6" s="55" t="s">
        <v>0</v>
      </c>
      <c r="C6" s="52">
        <v>17642332.658689123</v>
      </c>
      <c r="D6" s="52">
        <v>18811478.249769505</v>
      </c>
      <c r="E6" s="53">
        <v>20167731.49729104</v>
      </c>
      <c r="F6" s="53">
        <v>23520215.760772016</v>
      </c>
      <c r="G6" s="52">
        <v>28602582.161791328</v>
      </c>
      <c r="H6" s="54">
        <v>32349945</v>
      </c>
    </row>
    <row r="7" spans="1:10" ht="26.25" customHeight="1">
      <c r="A7" s="26">
        <v>4</v>
      </c>
      <c r="B7" s="55" t="s">
        <v>1</v>
      </c>
      <c r="C7" s="52">
        <v>8653357.7518729735</v>
      </c>
      <c r="D7" s="52">
        <v>9016179.2144927494</v>
      </c>
      <c r="E7" s="53">
        <v>9219115.0666666683</v>
      </c>
      <c r="F7" s="53">
        <v>7220396.0666666673</v>
      </c>
      <c r="G7" s="52">
        <v>6907082.1120772958</v>
      </c>
      <c r="H7" s="54">
        <v>7256922</v>
      </c>
    </row>
    <row r="8" spans="1:10" ht="26.25" customHeight="1">
      <c r="A8" s="26">
        <v>24</v>
      </c>
      <c r="B8" s="55" t="s">
        <v>2</v>
      </c>
      <c r="C8" s="52">
        <v>3152158</v>
      </c>
      <c r="D8" s="52">
        <v>3683880.219047619</v>
      </c>
      <c r="E8" s="53">
        <v>2674938.8897546898</v>
      </c>
      <c r="F8" s="53">
        <v>2351950.875</v>
      </c>
      <c r="G8" s="52">
        <v>1425336</v>
      </c>
      <c r="H8" s="54">
        <v>1198957</v>
      </c>
    </row>
    <row r="9" spans="1:10" ht="26.25" customHeight="1">
      <c r="A9" s="26">
        <v>10</v>
      </c>
      <c r="B9" s="55" t="s">
        <v>3</v>
      </c>
      <c r="C9" s="52">
        <v>69275304.50718382</v>
      </c>
      <c r="D9" s="52">
        <v>59671092.629391655</v>
      </c>
      <c r="E9" s="53">
        <v>65531352.282951705</v>
      </c>
      <c r="F9" s="53">
        <v>63979844.261970133</v>
      </c>
      <c r="G9" s="52">
        <v>51622861.80583711</v>
      </c>
      <c r="H9" s="54">
        <v>63920655</v>
      </c>
    </row>
    <row r="10" spans="1:10" ht="26.25" customHeight="1">
      <c r="A10" s="26">
        <v>30</v>
      </c>
      <c r="B10" s="55" t="s">
        <v>4</v>
      </c>
      <c r="C10" s="52">
        <v>13467825.477797465</v>
      </c>
      <c r="D10" s="52">
        <v>15133211.121377392</v>
      </c>
      <c r="E10" s="53">
        <v>16734324.87443677</v>
      </c>
      <c r="F10" s="53">
        <v>15591932.813595293</v>
      </c>
      <c r="G10" s="52">
        <v>19584665.949603178</v>
      </c>
      <c r="H10" s="54">
        <v>21740650</v>
      </c>
    </row>
    <row r="11" spans="1:10" ht="26.25" customHeight="1">
      <c r="A11" s="26">
        <v>16</v>
      </c>
      <c r="B11" s="55" t="s">
        <v>5</v>
      </c>
      <c r="C11" s="52">
        <v>992392.5</v>
      </c>
      <c r="D11" s="52">
        <v>1128717</v>
      </c>
      <c r="E11" s="53">
        <v>1239685.5660173157</v>
      </c>
      <c r="F11" s="53">
        <v>1020769.6666666666</v>
      </c>
      <c r="G11" s="52">
        <v>937978.5</v>
      </c>
      <c r="H11" s="54">
        <v>2666638</v>
      </c>
    </row>
    <row r="12" spans="1:10" ht="26.25" customHeight="1">
      <c r="A12" s="26">
        <v>18</v>
      </c>
      <c r="B12" s="55" t="s">
        <v>6</v>
      </c>
      <c r="C12" s="52">
        <v>14234824.605371051</v>
      </c>
      <c r="D12" s="52">
        <v>13720797.928571429</v>
      </c>
      <c r="E12" s="53">
        <v>11868189.433333334</v>
      </c>
      <c r="F12" s="53">
        <v>13750377.333333334</v>
      </c>
      <c r="G12" s="52">
        <v>23925590.857142858</v>
      </c>
      <c r="H12" s="54">
        <v>27624925</v>
      </c>
    </row>
    <row r="13" spans="1:10" ht="26.25" customHeight="1">
      <c r="A13" s="26">
        <v>23</v>
      </c>
      <c r="B13" s="55" t="s">
        <v>7</v>
      </c>
      <c r="C13" s="52">
        <v>75175221.102715164</v>
      </c>
      <c r="D13" s="52">
        <v>66459554.015433982</v>
      </c>
      <c r="E13" s="53">
        <v>77677949.606383666</v>
      </c>
      <c r="F13" s="53">
        <v>83909760.030913413</v>
      </c>
      <c r="G13" s="52">
        <v>83679616.795930341</v>
      </c>
      <c r="H13" s="54">
        <v>97613160</v>
      </c>
    </row>
    <row r="14" spans="1:10" ht="26.25" customHeight="1">
      <c r="A14" s="26">
        <v>14</v>
      </c>
      <c r="B14" s="55" t="s">
        <v>64</v>
      </c>
      <c r="C14" s="52">
        <v>2960374.6901194593</v>
      </c>
      <c r="D14" s="52">
        <v>2362608.4743589745</v>
      </c>
      <c r="E14" s="53">
        <v>2451055.777777778</v>
      </c>
      <c r="F14" s="53">
        <v>2402056.1363636362</v>
      </c>
      <c r="G14" s="52">
        <v>1793136.8095238095</v>
      </c>
      <c r="H14" s="54">
        <v>2100834</v>
      </c>
    </row>
    <row r="15" spans="1:10" ht="26.25" customHeight="1">
      <c r="A15" s="26">
        <v>29</v>
      </c>
      <c r="B15" s="55" t="s">
        <v>8</v>
      </c>
      <c r="C15" s="52">
        <v>1712914.5</v>
      </c>
      <c r="D15" s="52">
        <v>1636978</v>
      </c>
      <c r="E15" s="53">
        <v>2014308.5</v>
      </c>
      <c r="F15" s="53">
        <v>2127219.7999999998</v>
      </c>
      <c r="G15" s="52">
        <v>1998261.7</v>
      </c>
      <c r="H15" s="54">
        <v>2267379</v>
      </c>
    </row>
    <row r="16" spans="1:10" ht="26.25" customHeight="1">
      <c r="A16" s="26">
        <v>9</v>
      </c>
      <c r="B16" s="55" t="s">
        <v>29</v>
      </c>
      <c r="C16" s="52">
        <v>26164022.258138552</v>
      </c>
      <c r="D16" s="52">
        <v>30485100.737699218</v>
      </c>
      <c r="E16" s="53">
        <v>35213587.780458428</v>
      </c>
      <c r="F16" s="53">
        <v>40449238.185216665</v>
      </c>
      <c r="G16" s="52">
        <v>55244031.000789806</v>
      </c>
      <c r="H16" s="54">
        <v>44106538</v>
      </c>
    </row>
    <row r="17" spans="1:8" ht="26.25" customHeight="1">
      <c r="A17" s="26">
        <v>28</v>
      </c>
      <c r="B17" s="55" t="s">
        <v>9</v>
      </c>
      <c r="C17" s="52">
        <v>12502339</v>
      </c>
      <c r="D17" s="52">
        <v>12953963.75</v>
      </c>
      <c r="E17" s="53">
        <v>11984572.944444444</v>
      </c>
      <c r="F17" s="53">
        <v>9755735.8333333321</v>
      </c>
      <c r="G17" s="52">
        <v>9426475</v>
      </c>
      <c r="H17" s="54">
        <v>9429875</v>
      </c>
    </row>
    <row r="18" spans="1:8" ht="26.25" customHeight="1">
      <c r="A18" s="26">
        <v>6</v>
      </c>
      <c r="B18" s="55" t="s">
        <v>10</v>
      </c>
      <c r="C18" s="52">
        <v>307871140.9931525</v>
      </c>
      <c r="D18" s="52">
        <v>259049101.09325391</v>
      </c>
      <c r="E18" s="53">
        <v>235851159.31587297</v>
      </c>
      <c r="F18" s="53">
        <v>218633510.59714288</v>
      </c>
      <c r="G18" s="52">
        <v>235630754.73214287</v>
      </c>
      <c r="H18" s="54">
        <v>210305699</v>
      </c>
    </row>
    <row r="19" spans="1:8" ht="26.25" customHeight="1">
      <c r="A19" s="26">
        <v>19</v>
      </c>
      <c r="B19" s="55" t="s">
        <v>11</v>
      </c>
      <c r="C19" s="52">
        <v>9442724.112758439</v>
      </c>
      <c r="D19" s="52">
        <v>11311658.423809525</v>
      </c>
      <c r="E19" s="53">
        <v>14015880.945454543</v>
      </c>
      <c r="F19" s="53">
        <v>15441521.80952381</v>
      </c>
      <c r="G19" s="52">
        <v>20823513.916666668</v>
      </c>
      <c r="H19" s="54">
        <v>24818520</v>
      </c>
    </row>
    <row r="20" spans="1:8" ht="26.25" customHeight="1">
      <c r="A20" s="26">
        <v>20</v>
      </c>
      <c r="B20" s="55" t="s">
        <v>12</v>
      </c>
      <c r="C20" s="52">
        <v>21528869.583333336</v>
      </c>
      <c r="D20" s="52">
        <v>33393798.352661218</v>
      </c>
      <c r="E20" s="53">
        <v>25315862.246269844</v>
      </c>
      <c r="F20" s="53">
        <v>24843820.653015472</v>
      </c>
      <c r="G20" s="52">
        <v>24029566.389110893</v>
      </c>
      <c r="H20" s="54">
        <v>24454046</v>
      </c>
    </row>
    <row r="21" spans="1:8" ht="26.25" customHeight="1">
      <c r="A21" s="26">
        <v>11</v>
      </c>
      <c r="B21" s="55" t="s">
        <v>30</v>
      </c>
      <c r="C21" s="52">
        <v>2141072.5252963444</v>
      </c>
      <c r="D21" s="52">
        <v>2033250.6227231917</v>
      </c>
      <c r="E21" s="53">
        <v>2406692.1773809521</v>
      </c>
      <c r="F21" s="53">
        <v>2525762.6848484846</v>
      </c>
      <c r="G21" s="52">
        <v>2182637.9497169498</v>
      </c>
      <c r="H21" s="54">
        <v>2185430</v>
      </c>
    </row>
    <row r="22" spans="1:8" ht="26.25" customHeight="1">
      <c r="A22" s="26">
        <v>7</v>
      </c>
      <c r="B22" s="55" t="s">
        <v>13</v>
      </c>
      <c r="C22" s="52">
        <v>20181412.659125302</v>
      </c>
      <c r="D22" s="52">
        <v>17316686.558283396</v>
      </c>
      <c r="E22" s="53">
        <v>19085911.997037265</v>
      </c>
      <c r="F22" s="53">
        <v>25274342.05454563</v>
      </c>
      <c r="G22" s="52">
        <v>27640774.74523811</v>
      </c>
      <c r="H22" s="54">
        <v>32018884</v>
      </c>
    </row>
    <row r="23" spans="1:8" ht="26.25" customHeight="1">
      <c r="A23" s="26">
        <v>26</v>
      </c>
      <c r="B23" s="55" t="s">
        <v>14</v>
      </c>
      <c r="C23" s="52">
        <v>18445072.677204259</v>
      </c>
      <c r="D23" s="52">
        <v>22234228.373838384</v>
      </c>
      <c r="E23" s="53">
        <v>28213539.581966452</v>
      </c>
      <c r="F23" s="53">
        <v>31158883.066025641</v>
      </c>
      <c r="G23" s="52">
        <v>42294154.374603212</v>
      </c>
      <c r="H23" s="54">
        <v>31726903</v>
      </c>
    </row>
    <row r="24" spans="1:8" ht="26.25" customHeight="1">
      <c r="A24" s="26">
        <v>25</v>
      </c>
      <c r="B24" s="55" t="s">
        <v>15</v>
      </c>
      <c r="C24" s="52">
        <v>4273555.6577141993</v>
      </c>
      <c r="D24" s="52">
        <v>6627694.3158730157</v>
      </c>
      <c r="E24" s="53">
        <v>7609466.5366666671</v>
      </c>
      <c r="F24" s="53">
        <v>7734279.1959956717</v>
      </c>
      <c r="G24" s="52">
        <v>9860205.9305555522</v>
      </c>
      <c r="H24" s="54">
        <v>13422232</v>
      </c>
    </row>
    <row r="25" spans="1:8" ht="26.25" customHeight="1">
      <c r="A25" s="26">
        <v>12</v>
      </c>
      <c r="B25" s="55" t="s">
        <v>16</v>
      </c>
      <c r="C25" s="52">
        <v>1553846.3873584657</v>
      </c>
      <c r="D25" s="52">
        <v>1310885.4444444445</v>
      </c>
      <c r="E25" s="53">
        <v>1076501.7333333334</v>
      </c>
      <c r="F25" s="53">
        <v>1158561.3511904762</v>
      </c>
      <c r="G25" s="52">
        <v>2538816.6904761898</v>
      </c>
      <c r="H25" s="54">
        <v>3320419</v>
      </c>
    </row>
    <row r="26" spans="1:8" ht="26.25" customHeight="1">
      <c r="A26" s="26">
        <v>8</v>
      </c>
      <c r="B26" s="55" t="s">
        <v>17</v>
      </c>
      <c r="C26" s="52">
        <v>16857228.876138791</v>
      </c>
      <c r="D26" s="52">
        <v>18850319.652796771</v>
      </c>
      <c r="E26" s="53">
        <v>18555511.871428572</v>
      </c>
      <c r="F26" s="53">
        <v>18068783.299905736</v>
      </c>
      <c r="G26" s="52">
        <v>19712567.726878025</v>
      </c>
      <c r="H26" s="54">
        <v>24576616</v>
      </c>
    </row>
    <row r="27" spans="1:8" ht="26.25" customHeight="1">
      <c r="A27" s="26">
        <v>5</v>
      </c>
      <c r="B27" s="55" t="s">
        <v>18</v>
      </c>
      <c r="C27" s="52">
        <v>11196709.5</v>
      </c>
      <c r="D27" s="52">
        <v>8949959.5000000019</v>
      </c>
      <c r="E27" s="53">
        <v>9198623.883333331</v>
      </c>
      <c r="F27" s="53">
        <v>9600925.333333334</v>
      </c>
      <c r="G27" s="52">
        <v>10007460.666666668</v>
      </c>
      <c r="H27" s="54">
        <v>10959406</v>
      </c>
    </row>
    <row r="28" spans="1:8" ht="26.25" customHeight="1">
      <c r="A28" s="26">
        <v>17</v>
      </c>
      <c r="B28" s="55" t="s">
        <v>65</v>
      </c>
      <c r="C28" s="52">
        <v>332953</v>
      </c>
      <c r="D28" s="52">
        <v>425686</v>
      </c>
      <c r="E28" s="53">
        <v>361208</v>
      </c>
      <c r="F28" s="53">
        <v>256538</v>
      </c>
      <c r="G28" s="52">
        <v>145442.5</v>
      </c>
      <c r="H28" s="54">
        <v>104999</v>
      </c>
    </row>
    <row r="29" spans="1:8" ht="26.25" customHeight="1">
      <c r="A29" s="26">
        <v>27</v>
      </c>
      <c r="B29" s="55" t="s">
        <v>19</v>
      </c>
      <c r="C29" s="52">
        <v>1747008.5</v>
      </c>
      <c r="D29" s="52">
        <v>2097029.9145021639</v>
      </c>
      <c r="E29" s="53">
        <v>1717941.0517815517</v>
      </c>
      <c r="F29" s="53">
        <v>2261347.1964285714</v>
      </c>
      <c r="G29" s="52">
        <v>2159212.3238095236</v>
      </c>
      <c r="H29" s="54">
        <v>2990974</v>
      </c>
    </row>
    <row r="30" spans="1:8" ht="26.25" customHeight="1">
      <c r="A30" s="26">
        <v>1</v>
      </c>
      <c r="B30" s="55" t="s">
        <v>20</v>
      </c>
      <c r="C30" s="52">
        <v>9690851.6764255017</v>
      </c>
      <c r="D30" s="52">
        <v>9142650.8198412694</v>
      </c>
      <c r="E30" s="53">
        <v>8248244.1522222208</v>
      </c>
      <c r="F30" s="53">
        <v>7654694.048142137</v>
      </c>
      <c r="G30" s="52">
        <v>6671022.8948412724</v>
      </c>
      <c r="H30" s="54">
        <v>6618827</v>
      </c>
    </row>
    <row r="31" spans="1:8" ht="26.25" customHeight="1">
      <c r="A31" s="26">
        <v>15</v>
      </c>
      <c r="B31" s="55" t="s">
        <v>21</v>
      </c>
      <c r="C31" s="52">
        <v>1885108</v>
      </c>
      <c r="D31" s="52">
        <v>1325441.7426462427</v>
      </c>
      <c r="E31" s="53">
        <v>871179.67647058819</v>
      </c>
      <c r="F31" s="53">
        <v>798287.10202020209</v>
      </c>
      <c r="G31" s="52">
        <v>1042923.1666666667</v>
      </c>
      <c r="H31" s="54">
        <v>1580124</v>
      </c>
    </row>
    <row r="32" spans="1:8" ht="26.25" customHeight="1">
      <c r="A32" s="26">
        <v>2</v>
      </c>
      <c r="B32" s="55" t="s">
        <v>22</v>
      </c>
      <c r="C32" s="52">
        <v>14676575.881406594</v>
      </c>
      <c r="D32" s="52">
        <v>16500486.187545093</v>
      </c>
      <c r="E32" s="53">
        <v>18596285.172039069</v>
      </c>
      <c r="F32" s="53">
        <v>16308193.465476191</v>
      </c>
      <c r="G32" s="52">
        <v>12503984.828749681</v>
      </c>
      <c r="H32" s="54">
        <v>11567769</v>
      </c>
    </row>
    <row r="33" spans="1:8" ht="26.25" customHeight="1">
      <c r="A33" s="26">
        <v>0</v>
      </c>
      <c r="B33" s="55" t="s">
        <v>32</v>
      </c>
      <c r="C33" s="52">
        <v>49765723.756885491</v>
      </c>
      <c r="D33" s="52">
        <v>56219628.455902576</v>
      </c>
      <c r="E33" s="53">
        <v>52714782.645806648</v>
      </c>
      <c r="F33" s="53">
        <v>54606142.120255888</v>
      </c>
      <c r="G33" s="52">
        <v>47223005.011394024</v>
      </c>
      <c r="H33" s="54">
        <v>45943302</v>
      </c>
    </row>
    <row r="34" spans="1:8" ht="26.25" customHeight="1">
      <c r="A34" s="26">
        <v>22</v>
      </c>
      <c r="B34" s="55" t="s">
        <v>23</v>
      </c>
      <c r="C34" s="52">
        <v>59578379.114049263</v>
      </c>
      <c r="D34" s="52">
        <v>50219991.828334972</v>
      </c>
      <c r="E34" s="53">
        <v>48904160.368131861</v>
      </c>
      <c r="F34" s="53">
        <v>46821939.567857139</v>
      </c>
      <c r="G34" s="52">
        <v>55288516.833928563</v>
      </c>
      <c r="H34" s="54">
        <v>38403146</v>
      </c>
    </row>
    <row r="35" spans="1:8" ht="26.25" customHeight="1">
      <c r="A35" s="26">
        <v>13</v>
      </c>
      <c r="B35" s="55" t="s">
        <v>24</v>
      </c>
      <c r="C35" s="52">
        <v>5479741.6042482434</v>
      </c>
      <c r="D35" s="52">
        <v>5037376.3643790847</v>
      </c>
      <c r="E35" s="53">
        <v>4977902.1642857147</v>
      </c>
      <c r="F35" s="53">
        <v>4298818.0333333332</v>
      </c>
      <c r="G35" s="52">
        <v>3195974.333333334</v>
      </c>
      <c r="H35" s="54">
        <v>2299448</v>
      </c>
    </row>
    <row r="36" spans="1:8" ht="26.25" customHeight="1" thickBot="1">
      <c r="A36" s="27">
        <v>21</v>
      </c>
      <c r="B36" s="57" t="s">
        <v>25</v>
      </c>
      <c r="C36" s="58">
        <v>12121687.289285714</v>
      </c>
      <c r="D36" s="58">
        <v>18384242.150050312</v>
      </c>
      <c r="E36" s="59">
        <v>20090535.100147933</v>
      </c>
      <c r="F36" s="59">
        <v>23064837.950396828</v>
      </c>
      <c r="G36" s="58">
        <v>36010382.725952968</v>
      </c>
      <c r="H36" s="60">
        <v>35571435</v>
      </c>
    </row>
  </sheetData>
  <mergeCells count="4">
    <mergeCell ref="A3:A4"/>
    <mergeCell ref="B3:B4"/>
    <mergeCell ref="A2:H2"/>
    <mergeCell ref="C3:H3"/>
  </mergeCells>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29D6F-15F5-4683-9A80-C890A109CB79}">
  <dimension ref="A1:H37"/>
  <sheetViews>
    <sheetView rightToLeft="1" workbookViewId="0">
      <selection activeCell="C3" sqref="C3:H3"/>
    </sheetView>
  </sheetViews>
  <sheetFormatPr defaultRowHeight="12.75"/>
  <cols>
    <col min="1" max="1" width="11.28515625" style="75" customWidth="1"/>
    <col min="2" max="2" width="52.7109375" style="20" customWidth="1"/>
    <col min="3" max="7" width="19" style="20" customWidth="1"/>
    <col min="8" max="8" width="19.42578125" style="32" customWidth="1"/>
    <col min="9" max="9" width="12.140625" style="20" bestFit="1" customWidth="1"/>
    <col min="10" max="16384" width="9.140625" style="20"/>
  </cols>
  <sheetData>
    <row r="1" spans="1:8" ht="28.5" customHeight="1" thickBot="1">
      <c r="A1" s="127" t="s">
        <v>105</v>
      </c>
      <c r="B1" s="127"/>
      <c r="C1" s="127"/>
      <c r="D1" s="127"/>
      <c r="E1" s="127"/>
      <c r="F1" s="127"/>
      <c r="G1" s="127"/>
      <c r="H1" s="20"/>
    </row>
    <row r="2" spans="1:8" ht="25.5" customHeight="1">
      <c r="A2" s="128" t="s">
        <v>34</v>
      </c>
      <c r="B2" s="130" t="s">
        <v>35</v>
      </c>
      <c r="C2" s="132" t="s">
        <v>106</v>
      </c>
      <c r="D2" s="133"/>
      <c r="E2" s="133"/>
      <c r="F2" s="133"/>
      <c r="G2" s="133"/>
      <c r="H2" s="134"/>
    </row>
    <row r="3" spans="1:8" ht="28.5" customHeight="1">
      <c r="A3" s="129"/>
      <c r="B3" s="131"/>
      <c r="C3" s="69">
        <v>1394</v>
      </c>
      <c r="D3" s="69">
        <v>1395</v>
      </c>
      <c r="E3" s="70">
        <v>1396</v>
      </c>
      <c r="F3" s="70">
        <v>1397</v>
      </c>
      <c r="G3" s="69">
        <v>1398</v>
      </c>
      <c r="H3" s="71">
        <v>1399</v>
      </c>
    </row>
    <row r="4" spans="1:8" ht="25.5" customHeight="1">
      <c r="A4" s="72"/>
      <c r="B4" s="23" t="s">
        <v>36</v>
      </c>
      <c r="C4" s="52">
        <v>126028365.20580447</v>
      </c>
      <c r="D4" s="52">
        <v>118794909.63342258</v>
      </c>
      <c r="E4" s="53">
        <v>112897678.08617106</v>
      </c>
      <c r="F4" s="53">
        <v>108855218.47667609</v>
      </c>
      <c r="G4" s="52">
        <v>112581073.83016007</v>
      </c>
      <c r="H4" s="62">
        <v>109751055</v>
      </c>
    </row>
    <row r="5" spans="1:8" ht="25.5" customHeight="1">
      <c r="A5" s="73">
        <v>10</v>
      </c>
      <c r="B5" s="23" t="s">
        <v>37</v>
      </c>
      <c r="C5" s="52">
        <v>7542061.7522947518</v>
      </c>
      <c r="D5" s="52">
        <v>8268624.8277087212</v>
      </c>
      <c r="E5" s="53">
        <v>8457210.9882114977</v>
      </c>
      <c r="F5" s="53">
        <v>8213724.7508934373</v>
      </c>
      <c r="G5" s="52">
        <v>11774847.235766573</v>
      </c>
      <c r="H5" s="62">
        <v>13408274</v>
      </c>
    </row>
    <row r="6" spans="1:8" ht="25.5" customHeight="1">
      <c r="A6" s="73">
        <v>11</v>
      </c>
      <c r="B6" s="23" t="s">
        <v>38</v>
      </c>
      <c r="C6" s="52">
        <v>566504.19999999995</v>
      </c>
      <c r="D6" s="52">
        <v>690159.3</v>
      </c>
      <c r="E6" s="53">
        <v>761129.79920634918</v>
      </c>
      <c r="F6" s="53">
        <v>826360.07619047619</v>
      </c>
      <c r="G6" s="52">
        <v>707980.5</v>
      </c>
      <c r="H6" s="62">
        <v>818999</v>
      </c>
    </row>
    <row r="7" spans="1:8" ht="25.5" customHeight="1">
      <c r="A7" s="73">
        <v>12</v>
      </c>
      <c r="B7" s="23" t="s">
        <v>39</v>
      </c>
      <c r="C7" s="52">
        <v>11600</v>
      </c>
      <c r="D7" s="52">
        <v>12641</v>
      </c>
      <c r="E7" s="53">
        <v>12763.900000000001</v>
      </c>
      <c r="F7" s="53">
        <v>13428.300000000001</v>
      </c>
      <c r="G7" s="52">
        <v>24399.599999999999</v>
      </c>
      <c r="H7" s="62">
        <v>24638</v>
      </c>
    </row>
    <row r="8" spans="1:8" ht="25.5" customHeight="1">
      <c r="A8" s="73">
        <v>13</v>
      </c>
      <c r="B8" s="23" t="s">
        <v>40</v>
      </c>
      <c r="C8" s="52">
        <v>1443945.9004761905</v>
      </c>
      <c r="D8" s="52">
        <v>1456790.1640962872</v>
      </c>
      <c r="E8" s="53">
        <v>1577701.9480432258</v>
      </c>
      <c r="F8" s="53">
        <v>1256346.8613636363</v>
      </c>
      <c r="G8" s="52">
        <v>1201347.057142857</v>
      </c>
      <c r="H8" s="62">
        <v>1419306</v>
      </c>
    </row>
    <row r="9" spans="1:8" ht="25.5" customHeight="1">
      <c r="A9" s="73">
        <v>14</v>
      </c>
      <c r="B9" s="23" t="s">
        <v>41</v>
      </c>
      <c r="C9" s="52">
        <v>19939.123914607819</v>
      </c>
      <c r="D9" s="52">
        <v>23070</v>
      </c>
      <c r="E9" s="53">
        <v>25213</v>
      </c>
      <c r="F9" s="53">
        <v>45127</v>
      </c>
      <c r="G9" s="52">
        <v>13637.833333333334</v>
      </c>
      <c r="H9" s="62">
        <v>15485</v>
      </c>
    </row>
    <row r="10" spans="1:8" ht="25.5" customHeight="1">
      <c r="A10" s="73">
        <v>15</v>
      </c>
      <c r="B10" s="23" t="s">
        <v>50</v>
      </c>
      <c r="C10" s="52">
        <v>62729.845771232438</v>
      </c>
      <c r="D10" s="52">
        <v>93033</v>
      </c>
      <c r="E10" s="53">
        <v>75595.366666666683</v>
      </c>
      <c r="F10" s="53">
        <v>114897.64285714286</v>
      </c>
      <c r="G10" s="52">
        <v>105615.36634199135</v>
      </c>
      <c r="H10" s="62">
        <v>135779</v>
      </c>
    </row>
    <row r="11" spans="1:8" ht="27.75" customHeight="1">
      <c r="A11" s="73">
        <v>16</v>
      </c>
      <c r="B11" s="23" t="s">
        <v>59</v>
      </c>
      <c r="C11" s="52">
        <v>248198.26121372034</v>
      </c>
      <c r="D11" s="52">
        <v>249122.43333333335</v>
      </c>
      <c r="E11" s="53">
        <v>254388.59999999998</v>
      </c>
      <c r="F11" s="53">
        <v>223528.54515151514</v>
      </c>
      <c r="G11" s="52">
        <v>197107.78571428571</v>
      </c>
      <c r="H11" s="62">
        <v>177802</v>
      </c>
    </row>
    <row r="12" spans="1:8" ht="25.5" customHeight="1">
      <c r="A12" s="73">
        <v>17</v>
      </c>
      <c r="B12" s="23" t="s">
        <v>51</v>
      </c>
      <c r="C12" s="52">
        <v>1725169.3060686013</v>
      </c>
      <c r="D12" s="52">
        <v>1540372.7488505745</v>
      </c>
      <c r="E12" s="53">
        <v>1621528.5729870135</v>
      </c>
      <c r="F12" s="53">
        <v>1575479.1407407408</v>
      </c>
      <c r="G12" s="52">
        <v>1623669</v>
      </c>
      <c r="H12" s="62">
        <v>1729790</v>
      </c>
    </row>
    <row r="13" spans="1:8" ht="25.5" customHeight="1">
      <c r="A13" s="73">
        <v>18</v>
      </c>
      <c r="B13" s="23" t="s">
        <v>42</v>
      </c>
      <c r="C13" s="52">
        <v>22042.161213720319</v>
      </c>
      <c r="D13" s="52">
        <v>23178.285714285714</v>
      </c>
      <c r="E13" s="53">
        <v>31092.414285714283</v>
      </c>
      <c r="F13" s="53">
        <v>20072.280784313723</v>
      </c>
      <c r="G13" s="52">
        <v>16192.015673981192</v>
      </c>
      <c r="H13" s="62">
        <v>27704</v>
      </c>
    </row>
    <row r="14" spans="1:8" ht="25.5" customHeight="1">
      <c r="A14" s="73">
        <v>19</v>
      </c>
      <c r="B14" s="23" t="s">
        <v>52</v>
      </c>
      <c r="C14" s="52">
        <v>50286880.174344569</v>
      </c>
      <c r="D14" s="52">
        <v>45085964.050000004</v>
      </c>
      <c r="E14" s="53">
        <v>45556952.799999997</v>
      </c>
      <c r="F14" s="53">
        <v>36998305.096666664</v>
      </c>
      <c r="G14" s="52">
        <v>34819337.5</v>
      </c>
      <c r="H14" s="62">
        <v>22960621</v>
      </c>
    </row>
    <row r="15" spans="1:8" ht="25.5" customHeight="1">
      <c r="A15" s="73">
        <v>20</v>
      </c>
      <c r="B15" s="23" t="s">
        <v>60</v>
      </c>
      <c r="C15" s="52">
        <v>40971918.434484288</v>
      </c>
      <c r="D15" s="52">
        <v>40332565.619642861</v>
      </c>
      <c r="E15" s="53">
        <v>32463394.294861656</v>
      </c>
      <c r="F15" s="53">
        <v>37057937.200000003</v>
      </c>
      <c r="G15" s="52">
        <v>38168477.466666669</v>
      </c>
      <c r="H15" s="62">
        <v>39737950</v>
      </c>
    </row>
    <row r="16" spans="1:8" ht="25.5" customHeight="1">
      <c r="A16" s="73">
        <v>21</v>
      </c>
      <c r="B16" s="23" t="s">
        <v>61</v>
      </c>
      <c r="C16" s="52">
        <v>504955.1112137204</v>
      </c>
      <c r="D16" s="52">
        <v>529324.70000000007</v>
      </c>
      <c r="E16" s="53">
        <v>600393.86923076923</v>
      </c>
      <c r="F16" s="53">
        <v>698782.30151515163</v>
      </c>
      <c r="G16" s="52">
        <v>609193.1</v>
      </c>
      <c r="H16" s="62">
        <v>675623</v>
      </c>
    </row>
    <row r="17" spans="1:8" ht="25.5" customHeight="1">
      <c r="A17" s="73">
        <v>22</v>
      </c>
      <c r="B17" s="23" t="s">
        <v>62</v>
      </c>
      <c r="C17" s="52">
        <v>1179168.4134395346</v>
      </c>
      <c r="D17" s="52">
        <v>1268049.2969535764</v>
      </c>
      <c r="E17" s="53">
        <v>1162123.6668106453</v>
      </c>
      <c r="F17" s="53">
        <v>1343921.3453952281</v>
      </c>
      <c r="G17" s="52">
        <v>748657.8931874925</v>
      </c>
      <c r="H17" s="62">
        <v>1173281</v>
      </c>
    </row>
    <row r="18" spans="1:8" ht="25.5" customHeight="1">
      <c r="A18" s="73">
        <v>23</v>
      </c>
      <c r="B18" s="23" t="s">
        <v>63</v>
      </c>
      <c r="C18" s="52">
        <v>6735742.8090821551</v>
      </c>
      <c r="D18" s="52">
        <v>6330220.9015909936</v>
      </c>
      <c r="E18" s="53">
        <v>6549790.6336488547</v>
      </c>
      <c r="F18" s="53">
        <v>6162236.83968894</v>
      </c>
      <c r="G18" s="52">
        <v>5562497.3852390181</v>
      </c>
      <c r="H18" s="62">
        <v>5500174</v>
      </c>
    </row>
    <row r="19" spans="1:8" ht="25.5" customHeight="1">
      <c r="A19" s="73">
        <v>24</v>
      </c>
      <c r="B19" s="23" t="s">
        <v>43</v>
      </c>
      <c r="C19" s="52">
        <v>10194287.412902076</v>
      </c>
      <c r="D19" s="52">
        <v>8399356.6373626366</v>
      </c>
      <c r="E19" s="53">
        <v>9176315.7138405796</v>
      </c>
      <c r="F19" s="53">
        <v>10596411.983333334</v>
      </c>
      <c r="G19" s="52">
        <v>10756828.952136751</v>
      </c>
      <c r="H19" s="62">
        <v>13839365</v>
      </c>
    </row>
    <row r="20" spans="1:8" ht="25.5" customHeight="1">
      <c r="A20" s="73">
        <v>25</v>
      </c>
      <c r="B20" s="23" t="s">
        <v>53</v>
      </c>
      <c r="C20" s="52">
        <v>439305.85593480512</v>
      </c>
      <c r="D20" s="52">
        <v>446735.87912941282</v>
      </c>
      <c r="E20" s="53">
        <v>395934.93507796555</v>
      </c>
      <c r="F20" s="53">
        <v>305000.11111111112</v>
      </c>
      <c r="G20" s="52">
        <v>297818.39365079365</v>
      </c>
      <c r="H20" s="62">
        <v>525301</v>
      </c>
    </row>
    <row r="21" spans="1:8" ht="25.5" customHeight="1">
      <c r="A21" s="73">
        <v>26</v>
      </c>
      <c r="B21" s="23" t="s">
        <v>54</v>
      </c>
      <c r="C21" s="52">
        <v>17036.161213720316</v>
      </c>
      <c r="D21" s="52">
        <v>18664</v>
      </c>
      <c r="E21" s="53">
        <v>29754.45</v>
      </c>
      <c r="F21" s="53">
        <v>36275.599999999999</v>
      </c>
      <c r="G21" s="52">
        <v>26523.5</v>
      </c>
      <c r="H21" s="62">
        <v>59295</v>
      </c>
    </row>
    <row r="22" spans="1:8" ht="25.5" customHeight="1">
      <c r="A22" s="73">
        <v>27</v>
      </c>
      <c r="B22" s="23" t="s">
        <v>44</v>
      </c>
      <c r="C22" s="52">
        <v>228364.65671933829</v>
      </c>
      <c r="D22" s="52">
        <v>264065.10952214123</v>
      </c>
      <c r="E22" s="53">
        <v>258824.45811965811</v>
      </c>
      <c r="F22" s="53">
        <v>230713.90833333327</v>
      </c>
      <c r="G22" s="52">
        <v>496737.9615384615</v>
      </c>
      <c r="H22" s="62">
        <v>600060</v>
      </c>
    </row>
    <row r="23" spans="1:8" ht="25.5" customHeight="1">
      <c r="A23" s="73">
        <v>28</v>
      </c>
      <c r="B23" s="23" t="s">
        <v>55</v>
      </c>
      <c r="C23" s="52">
        <v>711165.91793305858</v>
      </c>
      <c r="D23" s="52">
        <v>641850.03333333309</v>
      </c>
      <c r="E23" s="53">
        <v>756150.88717948715</v>
      </c>
      <c r="F23" s="53">
        <v>636724.46713356802</v>
      </c>
      <c r="G23" s="52">
        <v>924664.00012265448</v>
      </c>
      <c r="H23" s="62">
        <v>1032747</v>
      </c>
    </row>
    <row r="24" spans="1:8" ht="25.5" customHeight="1">
      <c r="A24" s="73">
        <v>29</v>
      </c>
      <c r="B24" s="23" t="s">
        <v>56</v>
      </c>
      <c r="C24" s="52">
        <v>2733699.8611620944</v>
      </c>
      <c r="D24" s="52">
        <v>2705487.6155555551</v>
      </c>
      <c r="E24" s="53">
        <v>2729185.9309523813</v>
      </c>
      <c r="F24" s="53">
        <v>2001494.2985705179</v>
      </c>
      <c r="G24" s="52">
        <v>4040763.4930897448</v>
      </c>
      <c r="H24" s="62">
        <v>5289725</v>
      </c>
    </row>
    <row r="25" spans="1:8" ht="25.5" customHeight="1">
      <c r="A25" s="73">
        <v>30</v>
      </c>
      <c r="B25" s="23" t="s">
        <v>45</v>
      </c>
      <c r="C25" s="52">
        <v>172853.26121372031</v>
      </c>
      <c r="D25" s="52">
        <v>206137.20714285714</v>
      </c>
      <c r="E25" s="53">
        <v>202658.35</v>
      </c>
      <c r="F25" s="53">
        <v>216047.76666666663</v>
      </c>
      <c r="G25" s="52">
        <v>198491.05</v>
      </c>
      <c r="H25" s="62">
        <v>278266</v>
      </c>
    </row>
    <row r="26" spans="1:8" ht="25.5" customHeight="1">
      <c r="A26" s="73">
        <v>31</v>
      </c>
      <c r="B26" s="23" t="s">
        <v>46</v>
      </c>
      <c r="C26" s="52">
        <v>43428.073994666396</v>
      </c>
      <c r="D26" s="52">
        <v>48839.666343167701</v>
      </c>
      <c r="E26" s="53">
        <v>31531.614191419143</v>
      </c>
      <c r="F26" s="53">
        <v>25325.333333333332</v>
      </c>
      <c r="G26" s="52">
        <v>28735.088888888891</v>
      </c>
      <c r="H26" s="62">
        <v>15431</v>
      </c>
    </row>
    <row r="27" spans="1:8" ht="25.5" customHeight="1">
      <c r="A27" s="73">
        <v>32</v>
      </c>
      <c r="B27" s="23" t="s">
        <v>57</v>
      </c>
      <c r="C27" s="52">
        <v>164649.01121372031</v>
      </c>
      <c r="D27" s="52">
        <v>158081.65714285715</v>
      </c>
      <c r="E27" s="53">
        <v>164097.64285714284</v>
      </c>
      <c r="F27" s="53">
        <v>254129.0269469202</v>
      </c>
      <c r="G27" s="52">
        <v>231976.6516666667</v>
      </c>
      <c r="H27" s="62">
        <v>300808</v>
      </c>
    </row>
    <row r="28" spans="1:8" ht="25.5" customHeight="1" thickBot="1">
      <c r="A28" s="74">
        <v>33</v>
      </c>
      <c r="B28" s="28" t="s">
        <v>58</v>
      </c>
      <c r="C28" s="58">
        <v>2719.5</v>
      </c>
      <c r="D28" s="58">
        <v>2575.5</v>
      </c>
      <c r="E28" s="59">
        <v>3944.25</v>
      </c>
      <c r="F28" s="59">
        <v>2948.6</v>
      </c>
      <c r="G28" s="58">
        <v>5575</v>
      </c>
      <c r="H28" s="60">
        <v>4631</v>
      </c>
    </row>
    <row r="29" spans="1:8" ht="25.5" customHeight="1">
      <c r="H29" s="20"/>
    </row>
    <row r="30" spans="1:8" ht="25.5" customHeight="1">
      <c r="H30" s="20"/>
    </row>
    <row r="31" spans="1:8" ht="25.5" customHeight="1">
      <c r="H31" s="20"/>
    </row>
    <row r="32" spans="1:8" ht="25.5" customHeight="1">
      <c r="H32" s="20"/>
    </row>
    <row r="33" spans="8:8" ht="25.5" customHeight="1">
      <c r="H33" s="20"/>
    </row>
    <row r="34" spans="8:8" ht="25.5" customHeight="1">
      <c r="H34" s="20"/>
    </row>
    <row r="35" spans="8:8" ht="25.5" customHeight="1">
      <c r="H35" s="20"/>
    </row>
    <row r="36" spans="8:8" ht="25.5" customHeight="1">
      <c r="H36" s="20"/>
    </row>
    <row r="37" spans="8:8" ht="25.5" customHeight="1">
      <c r="H37" s="20"/>
    </row>
  </sheetData>
  <mergeCells count="4">
    <mergeCell ref="A1:G1"/>
    <mergeCell ref="A2:A3"/>
    <mergeCell ref="B2:B3"/>
    <mergeCell ref="C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2835F-2B54-4D79-BDAD-CEE7140B74C9}">
  <dimension ref="A1:L36"/>
  <sheetViews>
    <sheetView rightToLeft="1" workbookViewId="0">
      <selection sqref="A1:J1"/>
    </sheetView>
  </sheetViews>
  <sheetFormatPr defaultRowHeight="12.75"/>
  <cols>
    <col min="1" max="1" width="9.140625" style="75"/>
    <col min="2" max="2" width="21.5703125" style="20" customWidth="1"/>
    <col min="3" max="7" width="19" style="20" customWidth="1"/>
    <col min="8" max="8" width="17.85546875" style="20" customWidth="1"/>
    <col min="9" max="9" width="17.140625" style="20" customWidth="1"/>
    <col min="10" max="10" width="9.140625" style="20"/>
    <col min="11" max="11" width="12" style="32" bestFit="1" customWidth="1"/>
    <col min="12" max="12" width="9.140625" style="32"/>
    <col min="13" max="13" width="15.42578125" style="20" bestFit="1" customWidth="1"/>
    <col min="14" max="16384" width="9.140625" style="20"/>
  </cols>
  <sheetData>
    <row r="1" spans="1:12" ht="26.25" customHeight="1" thickBot="1">
      <c r="A1" s="127" t="s">
        <v>107</v>
      </c>
      <c r="B1" s="127"/>
      <c r="C1" s="127"/>
      <c r="D1" s="127"/>
      <c r="E1" s="127"/>
      <c r="F1" s="127"/>
      <c r="G1" s="127"/>
      <c r="H1" s="127"/>
      <c r="I1" s="127"/>
      <c r="J1" s="127"/>
    </row>
    <row r="2" spans="1:12" ht="26.25" customHeight="1">
      <c r="A2" s="135" t="s">
        <v>48</v>
      </c>
      <c r="B2" s="137" t="s">
        <v>27</v>
      </c>
      <c r="C2" s="132" t="s">
        <v>106</v>
      </c>
      <c r="D2" s="133"/>
      <c r="E2" s="133"/>
      <c r="F2" s="133"/>
      <c r="G2" s="133"/>
      <c r="H2" s="134"/>
      <c r="I2" s="76"/>
      <c r="J2" s="76"/>
    </row>
    <row r="3" spans="1:12" ht="26.25" customHeight="1">
      <c r="A3" s="136"/>
      <c r="B3" s="138"/>
      <c r="C3" s="77">
        <v>1394</v>
      </c>
      <c r="D3" s="77">
        <v>1395</v>
      </c>
      <c r="E3" s="78">
        <v>1396</v>
      </c>
      <c r="F3" s="78">
        <v>1397</v>
      </c>
      <c r="G3" s="77">
        <v>1398</v>
      </c>
      <c r="H3" s="79">
        <v>1399</v>
      </c>
      <c r="K3" s="20"/>
      <c r="L3" s="20"/>
    </row>
    <row r="4" spans="1:12" ht="26.25" customHeight="1">
      <c r="A4" s="80"/>
      <c r="B4" s="65" t="s">
        <v>28</v>
      </c>
      <c r="C4" s="52">
        <v>126028365.20580456</v>
      </c>
      <c r="D4" s="52">
        <v>118794909.63342258</v>
      </c>
      <c r="E4" s="53">
        <v>112897678.08617102</v>
      </c>
      <c r="F4" s="53">
        <v>108855218.47667634</v>
      </c>
      <c r="G4" s="52">
        <v>112581073.83016004</v>
      </c>
      <c r="H4" s="54">
        <v>109751055</v>
      </c>
      <c r="K4" s="20"/>
      <c r="L4" s="20"/>
    </row>
    <row r="5" spans="1:12" ht="26.25" customHeight="1">
      <c r="A5" s="73">
        <v>3</v>
      </c>
      <c r="B5" s="55" t="s">
        <v>0</v>
      </c>
      <c r="C5" s="52">
        <v>2998421.1689973618</v>
      </c>
      <c r="D5" s="52">
        <v>3188863.2847940945</v>
      </c>
      <c r="E5" s="53">
        <v>3489435.3624175824</v>
      </c>
      <c r="F5" s="53">
        <v>2730603.1549278502</v>
      </c>
      <c r="G5" s="52">
        <v>3486556.910157457</v>
      </c>
      <c r="H5" s="54">
        <v>3759858</v>
      </c>
      <c r="K5" s="20"/>
      <c r="L5" s="20"/>
    </row>
    <row r="6" spans="1:12" ht="26.25" customHeight="1">
      <c r="A6" s="73">
        <v>4</v>
      </c>
      <c r="B6" s="55" t="s">
        <v>1</v>
      </c>
      <c r="C6" s="52">
        <v>2188003.3653433593</v>
      </c>
      <c r="D6" s="52">
        <v>1581096.3895652175</v>
      </c>
      <c r="E6" s="53">
        <v>1567102.2080952378</v>
      </c>
      <c r="F6" s="53">
        <v>1133627.1266666665</v>
      </c>
      <c r="G6" s="52">
        <v>919470.48944444442</v>
      </c>
      <c r="H6" s="54">
        <v>967455</v>
      </c>
      <c r="K6" s="20"/>
      <c r="L6" s="20"/>
    </row>
    <row r="7" spans="1:12" ht="26.25" customHeight="1">
      <c r="A7" s="73">
        <v>24</v>
      </c>
      <c r="B7" s="55" t="s">
        <v>2</v>
      </c>
      <c r="C7" s="52">
        <v>241964.4</v>
      </c>
      <c r="D7" s="52">
        <v>236353.80000000002</v>
      </c>
      <c r="E7" s="53">
        <v>216632.57857142857</v>
      </c>
      <c r="F7" s="53">
        <v>305602.82583333342</v>
      </c>
      <c r="G7" s="52">
        <v>222615.08666666673</v>
      </c>
      <c r="H7" s="54">
        <v>251569</v>
      </c>
      <c r="K7" s="20"/>
      <c r="L7" s="20"/>
    </row>
    <row r="8" spans="1:12" ht="26.25" customHeight="1">
      <c r="A8" s="73">
        <v>10</v>
      </c>
      <c r="B8" s="55" t="s">
        <v>3</v>
      </c>
      <c r="C8" s="52">
        <v>4375491.5296109365</v>
      </c>
      <c r="D8" s="52">
        <v>7029992.858108148</v>
      </c>
      <c r="E8" s="53">
        <v>6972437.3379299501</v>
      </c>
      <c r="F8" s="53">
        <v>6630752.934861647</v>
      </c>
      <c r="G8" s="52">
        <v>6190892.1011403473</v>
      </c>
      <c r="H8" s="54">
        <v>8641219</v>
      </c>
      <c r="K8" s="20"/>
      <c r="L8" s="20"/>
    </row>
    <row r="9" spans="1:12" ht="26.25" customHeight="1">
      <c r="A9" s="73">
        <v>30</v>
      </c>
      <c r="B9" s="55" t="s">
        <v>4</v>
      </c>
      <c r="C9" s="52">
        <v>655419.08730870718</v>
      </c>
      <c r="D9" s="52">
        <v>419675.75610507245</v>
      </c>
      <c r="E9" s="53">
        <v>399733.12100854708</v>
      </c>
      <c r="F9" s="53">
        <v>501261.75302275538</v>
      </c>
      <c r="G9" s="52">
        <v>669566.22333333292</v>
      </c>
      <c r="H9" s="54">
        <v>647802</v>
      </c>
      <c r="K9" s="20"/>
      <c r="L9" s="20"/>
    </row>
    <row r="10" spans="1:12" ht="26.25" customHeight="1">
      <c r="A10" s="73">
        <v>16</v>
      </c>
      <c r="B10" s="55" t="s">
        <v>5</v>
      </c>
      <c r="C10" s="52">
        <v>81767.649999999994</v>
      </c>
      <c r="D10" s="52">
        <v>65289.8</v>
      </c>
      <c r="E10" s="53">
        <v>65802.626623376622</v>
      </c>
      <c r="F10" s="53">
        <v>66826.146666666667</v>
      </c>
      <c r="G10" s="52">
        <v>60820</v>
      </c>
      <c r="H10" s="54">
        <v>271356</v>
      </c>
      <c r="K10" s="20"/>
      <c r="L10" s="20"/>
    </row>
    <row r="11" spans="1:12" ht="26.25" customHeight="1">
      <c r="A11" s="73">
        <v>18</v>
      </c>
      <c r="B11" s="55" t="s">
        <v>6</v>
      </c>
      <c r="C11" s="52">
        <v>1242295.0999999999</v>
      </c>
      <c r="D11" s="52">
        <v>1594303.75</v>
      </c>
      <c r="E11" s="53">
        <v>1619841.55</v>
      </c>
      <c r="F11" s="53">
        <v>2661864.665</v>
      </c>
      <c r="G11" s="52">
        <v>1942405.65</v>
      </c>
      <c r="H11" s="54">
        <v>2245560</v>
      </c>
      <c r="K11" s="20"/>
      <c r="L11" s="20"/>
    </row>
    <row r="12" spans="1:12" ht="26.25" customHeight="1">
      <c r="A12" s="73">
        <v>23</v>
      </c>
      <c r="B12" s="55" t="s">
        <v>7</v>
      </c>
      <c r="C12" s="52">
        <v>8240435.991711502</v>
      </c>
      <c r="D12" s="52">
        <v>6170874.8995028296</v>
      </c>
      <c r="E12" s="53">
        <v>6378524.9208591217</v>
      </c>
      <c r="F12" s="53">
        <v>5052978.5882850373</v>
      </c>
      <c r="G12" s="52">
        <v>4406601.3682940993</v>
      </c>
      <c r="H12" s="54">
        <v>4464347</v>
      </c>
      <c r="K12" s="20"/>
      <c r="L12" s="20"/>
    </row>
    <row r="13" spans="1:12" ht="26.25" customHeight="1">
      <c r="A13" s="73">
        <v>14</v>
      </c>
      <c r="B13" s="55" t="s">
        <v>64</v>
      </c>
      <c r="C13" s="52">
        <v>180228.6224274406</v>
      </c>
      <c r="D13" s="52">
        <v>129356.66666666667</v>
      </c>
      <c r="E13" s="53">
        <v>128597.3</v>
      </c>
      <c r="F13" s="53">
        <v>266710.55000000005</v>
      </c>
      <c r="G13" s="52">
        <v>204505.34428571429</v>
      </c>
      <c r="H13" s="54">
        <v>220972</v>
      </c>
      <c r="K13" s="20"/>
      <c r="L13" s="20"/>
    </row>
    <row r="14" spans="1:12" ht="26.25" customHeight="1">
      <c r="A14" s="73">
        <v>29</v>
      </c>
      <c r="B14" s="55" t="s">
        <v>8</v>
      </c>
      <c r="C14" s="52">
        <v>393798.76121372031</v>
      </c>
      <c r="D14" s="52">
        <v>205338.3</v>
      </c>
      <c r="E14" s="53">
        <v>290812.89999999997</v>
      </c>
      <c r="F14" s="53">
        <v>225792.63</v>
      </c>
      <c r="G14" s="52">
        <v>194694.83333333334</v>
      </c>
      <c r="H14" s="54">
        <v>245827</v>
      </c>
      <c r="K14" s="20"/>
      <c r="L14" s="20"/>
    </row>
    <row r="15" spans="1:12" ht="26.25" customHeight="1">
      <c r="A15" s="73">
        <v>9</v>
      </c>
      <c r="B15" s="55" t="s">
        <v>29</v>
      </c>
      <c r="C15" s="52">
        <v>2536686.960792454</v>
      </c>
      <c r="D15" s="52">
        <v>3895556.5194132729</v>
      </c>
      <c r="E15" s="53">
        <v>4091106.2758458205</v>
      </c>
      <c r="F15" s="53">
        <v>4796379.4867594689</v>
      </c>
      <c r="G15" s="52">
        <v>6999453.1389234159</v>
      </c>
      <c r="H15" s="54">
        <v>6333420</v>
      </c>
      <c r="K15" s="20"/>
      <c r="L15" s="20"/>
    </row>
    <row r="16" spans="1:12" ht="26.25" customHeight="1">
      <c r="A16" s="73">
        <v>28</v>
      </c>
      <c r="B16" s="55" t="s">
        <v>9</v>
      </c>
      <c r="C16" s="52">
        <v>1953779.6</v>
      </c>
      <c r="D16" s="52">
        <v>1336775.8999999999</v>
      </c>
      <c r="E16" s="53">
        <v>1386108.3</v>
      </c>
      <c r="F16" s="53">
        <v>1114812.1666666665</v>
      </c>
      <c r="G16" s="52">
        <v>1282987.8100000003</v>
      </c>
      <c r="H16" s="54">
        <v>1343537</v>
      </c>
      <c r="K16" s="20"/>
      <c r="L16" s="20"/>
    </row>
    <row r="17" spans="1:12" ht="26.25" customHeight="1">
      <c r="A17" s="73">
        <v>6</v>
      </c>
      <c r="B17" s="55" t="s">
        <v>10</v>
      </c>
      <c r="C17" s="52">
        <v>80137096.677182332</v>
      </c>
      <c r="D17" s="52">
        <v>72019675.066666663</v>
      </c>
      <c r="E17" s="53">
        <v>65909483.622655682</v>
      </c>
      <c r="F17" s="53">
        <v>58444681.333174586</v>
      </c>
      <c r="G17" s="52">
        <v>58150755.709999986</v>
      </c>
      <c r="H17" s="54">
        <v>51142210</v>
      </c>
      <c r="K17" s="20"/>
      <c r="L17" s="20"/>
    </row>
    <row r="18" spans="1:12" ht="26.25" customHeight="1">
      <c r="A18" s="73">
        <v>19</v>
      </c>
      <c r="B18" s="55" t="s">
        <v>11</v>
      </c>
      <c r="C18" s="52">
        <v>250898.96159764013</v>
      </c>
      <c r="D18" s="52">
        <v>416564.87666666671</v>
      </c>
      <c r="E18" s="53">
        <v>613618.82666666654</v>
      </c>
      <c r="F18" s="53">
        <v>966472.09476190479</v>
      </c>
      <c r="G18" s="52">
        <v>1457989.91</v>
      </c>
      <c r="H18" s="54">
        <v>1608441</v>
      </c>
      <c r="K18" s="20"/>
      <c r="L18" s="20"/>
    </row>
    <row r="19" spans="1:12" ht="26.25" customHeight="1">
      <c r="A19" s="73">
        <v>20</v>
      </c>
      <c r="B19" s="55" t="s">
        <v>12</v>
      </c>
      <c r="C19" s="52">
        <v>351287.33667546167</v>
      </c>
      <c r="D19" s="52">
        <v>112661.3</v>
      </c>
      <c r="E19" s="53">
        <v>117687.68500000001</v>
      </c>
      <c r="F19" s="53">
        <v>168352.6507631258</v>
      </c>
      <c r="G19" s="52">
        <v>557310.67538095254</v>
      </c>
      <c r="H19" s="54">
        <v>865636</v>
      </c>
      <c r="K19" s="20"/>
      <c r="L19" s="20"/>
    </row>
    <row r="20" spans="1:12" ht="26.25" customHeight="1">
      <c r="A20" s="73">
        <v>11</v>
      </c>
      <c r="B20" s="55" t="s">
        <v>30</v>
      </c>
      <c r="C20" s="52">
        <v>629381.94924655044</v>
      </c>
      <c r="D20" s="52">
        <v>498949.41192622378</v>
      </c>
      <c r="E20" s="53">
        <v>511572.22119047621</v>
      </c>
      <c r="F20" s="53">
        <v>430051.74628571438</v>
      </c>
      <c r="G20" s="52">
        <v>322099.29757575755</v>
      </c>
      <c r="H20" s="54">
        <v>213080</v>
      </c>
      <c r="K20" s="20"/>
      <c r="L20" s="20"/>
    </row>
    <row r="21" spans="1:12" ht="26.25" customHeight="1">
      <c r="A21" s="73">
        <v>7</v>
      </c>
      <c r="B21" s="55" t="s">
        <v>13</v>
      </c>
      <c r="C21" s="52">
        <v>1635710.7836411609</v>
      </c>
      <c r="D21" s="52">
        <v>1450743.1558974357</v>
      </c>
      <c r="E21" s="53">
        <v>1637657.5476190478</v>
      </c>
      <c r="F21" s="53">
        <v>2337371.8396070036</v>
      </c>
      <c r="G21" s="52">
        <v>2146226.5537248421</v>
      </c>
      <c r="H21" s="54">
        <v>2617040</v>
      </c>
      <c r="K21" s="20"/>
      <c r="L21" s="20"/>
    </row>
    <row r="22" spans="1:12" ht="26.25" customHeight="1">
      <c r="A22" s="73">
        <v>26</v>
      </c>
      <c r="B22" s="55" t="s">
        <v>14</v>
      </c>
      <c r="C22" s="52">
        <v>1805794.997897977</v>
      </c>
      <c r="D22" s="52">
        <v>1370997.7876190478</v>
      </c>
      <c r="E22" s="53">
        <v>1485812.0348038687</v>
      </c>
      <c r="F22" s="53">
        <v>1365424.1584615384</v>
      </c>
      <c r="G22" s="52">
        <v>1211125.8525000005</v>
      </c>
      <c r="H22" s="54">
        <v>807792</v>
      </c>
      <c r="K22" s="20"/>
      <c r="L22" s="20"/>
    </row>
    <row r="23" spans="1:12" ht="26.25" customHeight="1">
      <c r="A23" s="73">
        <v>25</v>
      </c>
      <c r="B23" s="55" t="s">
        <v>15</v>
      </c>
      <c r="C23" s="52">
        <v>424616.29024850507</v>
      </c>
      <c r="D23" s="52">
        <v>543055.11507936509</v>
      </c>
      <c r="E23" s="53">
        <v>560582.58333333337</v>
      </c>
      <c r="F23" s="53">
        <v>534688.5500865801</v>
      </c>
      <c r="G23" s="52">
        <v>716826.12499999977</v>
      </c>
      <c r="H23" s="54">
        <v>777800</v>
      </c>
      <c r="K23" s="20"/>
      <c r="L23" s="20"/>
    </row>
    <row r="24" spans="1:12" ht="26.25" customHeight="1">
      <c r="A24" s="73">
        <v>12</v>
      </c>
      <c r="B24" s="55" t="s">
        <v>16</v>
      </c>
      <c r="C24" s="52">
        <v>69274.164441306304</v>
      </c>
      <c r="D24" s="52">
        <v>48279.184232949752</v>
      </c>
      <c r="E24" s="53">
        <v>42846.899999999994</v>
      </c>
      <c r="F24" s="53">
        <v>44123.653571428571</v>
      </c>
      <c r="G24" s="52">
        <v>128328.205</v>
      </c>
      <c r="H24" s="54">
        <v>174180</v>
      </c>
      <c r="K24" s="20"/>
      <c r="L24" s="20"/>
    </row>
    <row r="25" spans="1:12" ht="26.25" customHeight="1">
      <c r="A25" s="73">
        <v>8</v>
      </c>
      <c r="B25" s="55" t="s">
        <v>17</v>
      </c>
      <c r="C25" s="52">
        <v>2973693.2227352671</v>
      </c>
      <c r="D25" s="52">
        <v>3459479.3966666665</v>
      </c>
      <c r="E25" s="53">
        <v>3555309.4666666663</v>
      </c>
      <c r="F25" s="53">
        <v>3129757.5186147182</v>
      </c>
      <c r="G25" s="52">
        <v>3593086.3053030288</v>
      </c>
      <c r="H25" s="54">
        <v>4346676</v>
      </c>
      <c r="K25" s="20"/>
      <c r="L25" s="20"/>
    </row>
    <row r="26" spans="1:12" ht="26.25" customHeight="1">
      <c r="A26" s="73">
        <v>5</v>
      </c>
      <c r="B26" s="55" t="s">
        <v>18</v>
      </c>
      <c r="C26" s="52">
        <v>1181651.3224274407</v>
      </c>
      <c r="D26" s="52">
        <v>971546.1333333333</v>
      </c>
      <c r="E26" s="53">
        <v>973716.12500000012</v>
      </c>
      <c r="F26" s="53">
        <v>1476974.8099999996</v>
      </c>
      <c r="G26" s="52">
        <v>1677308.0800000003</v>
      </c>
      <c r="H26" s="54">
        <v>1695877</v>
      </c>
      <c r="K26" s="20"/>
      <c r="L26" s="20"/>
    </row>
    <row r="27" spans="1:12" ht="26.25" customHeight="1">
      <c r="A27" s="73">
        <v>17</v>
      </c>
      <c r="B27" s="55" t="s">
        <v>65</v>
      </c>
      <c r="C27" s="52">
        <v>86049.7</v>
      </c>
      <c r="D27" s="52">
        <v>117421</v>
      </c>
      <c r="E27" s="53">
        <v>96511.5</v>
      </c>
      <c r="F27" s="53">
        <v>63069.899999999994</v>
      </c>
      <c r="G27" s="52">
        <v>40259.100000000006</v>
      </c>
      <c r="H27" s="54">
        <v>48400</v>
      </c>
      <c r="K27" s="20"/>
      <c r="L27" s="20"/>
    </row>
    <row r="28" spans="1:12" ht="26.25" customHeight="1">
      <c r="A28" s="73">
        <v>27</v>
      </c>
      <c r="B28" s="55" t="s">
        <v>19</v>
      </c>
      <c r="C28" s="52">
        <v>376861.16121372039</v>
      </c>
      <c r="D28" s="52">
        <v>586319.49642857153</v>
      </c>
      <c r="E28" s="53">
        <v>496229.49610389606</v>
      </c>
      <c r="F28" s="53">
        <v>504231.42571428581</v>
      </c>
      <c r="G28" s="52">
        <v>536959.92476190475</v>
      </c>
      <c r="H28" s="54">
        <v>749394</v>
      </c>
      <c r="K28" s="20"/>
      <c r="L28" s="20"/>
    </row>
    <row r="29" spans="1:12" ht="26.25" customHeight="1">
      <c r="A29" s="73">
        <v>1</v>
      </c>
      <c r="B29" s="55" t="s">
        <v>20</v>
      </c>
      <c r="C29" s="52">
        <v>643788.78733333352</v>
      </c>
      <c r="D29" s="52">
        <v>642616.4</v>
      </c>
      <c r="E29" s="53">
        <v>543106.53333333333</v>
      </c>
      <c r="F29" s="53">
        <v>521593.7864242426</v>
      </c>
      <c r="G29" s="52">
        <v>535044.14808080811</v>
      </c>
      <c r="H29" s="54">
        <v>672248</v>
      </c>
      <c r="K29" s="20"/>
      <c r="L29" s="20"/>
    </row>
    <row r="30" spans="1:12" ht="26.25" customHeight="1">
      <c r="A30" s="73">
        <v>15</v>
      </c>
      <c r="B30" s="55" t="s">
        <v>21</v>
      </c>
      <c r="C30" s="52">
        <v>176877.80000000002</v>
      </c>
      <c r="D30" s="52">
        <v>139235.77368742367</v>
      </c>
      <c r="E30" s="53">
        <v>100064.83529411766</v>
      </c>
      <c r="F30" s="53">
        <v>105436.10444444446</v>
      </c>
      <c r="G30" s="52">
        <v>286196.59999999998</v>
      </c>
      <c r="H30" s="54">
        <v>303699</v>
      </c>
      <c r="K30" s="20"/>
      <c r="L30" s="20"/>
    </row>
    <row r="31" spans="1:12" ht="26.25" customHeight="1">
      <c r="A31" s="73">
        <v>2</v>
      </c>
      <c r="B31" s="55" t="s">
        <v>22</v>
      </c>
      <c r="C31" s="52">
        <v>1541285.1427098738</v>
      </c>
      <c r="D31" s="52">
        <v>2326837.0963203474</v>
      </c>
      <c r="E31" s="53">
        <v>1961965.0744444444</v>
      </c>
      <c r="F31" s="53">
        <v>2130881.8552941177</v>
      </c>
      <c r="G31" s="52">
        <v>4410298.5219365926</v>
      </c>
      <c r="H31" s="54">
        <v>4149480</v>
      </c>
      <c r="K31" s="20"/>
      <c r="L31" s="20"/>
    </row>
    <row r="32" spans="1:12" ht="26.25" customHeight="1">
      <c r="A32" s="73">
        <v>0</v>
      </c>
      <c r="B32" s="55" t="s">
        <v>32</v>
      </c>
      <c r="C32" s="52">
        <v>5704191.2351802997</v>
      </c>
      <c r="D32" s="52">
        <v>5112704.5696462151</v>
      </c>
      <c r="E32" s="53">
        <v>5082074.6590909073</v>
      </c>
      <c r="F32" s="53">
        <v>8059548.26884571</v>
      </c>
      <c r="G32" s="52">
        <v>7279892.4736507926</v>
      </c>
      <c r="H32" s="54">
        <v>6582147</v>
      </c>
      <c r="K32" s="20"/>
      <c r="L32" s="20"/>
    </row>
    <row r="33" spans="1:12" ht="26.25" customHeight="1">
      <c r="A33" s="73">
        <v>22</v>
      </c>
      <c r="B33" s="55" t="s">
        <v>23</v>
      </c>
      <c r="C33" s="52">
        <v>1854665.0000000002</v>
      </c>
      <c r="D33" s="52">
        <v>2041186.6142857142</v>
      </c>
      <c r="E33" s="53">
        <v>1649426.7575091575</v>
      </c>
      <c r="F33" s="53">
        <v>2112820.9099999997</v>
      </c>
      <c r="G33" s="52">
        <v>1971521.4716666667</v>
      </c>
      <c r="H33" s="54">
        <v>2628848</v>
      </c>
      <c r="K33" s="20"/>
      <c r="L33" s="20"/>
    </row>
    <row r="34" spans="1:12" ht="26.25" customHeight="1">
      <c r="A34" s="73">
        <v>13</v>
      </c>
      <c r="B34" s="55" t="s">
        <v>24</v>
      </c>
      <c r="C34" s="52">
        <v>897152.67465425783</v>
      </c>
      <c r="D34" s="52">
        <v>889587.82366779947</v>
      </c>
      <c r="E34" s="53">
        <v>830832.26714285731</v>
      </c>
      <c r="F34" s="53">
        <v>606209.65399999986</v>
      </c>
      <c r="G34" s="52">
        <v>407817.96000000008</v>
      </c>
      <c r="H34" s="54">
        <v>389514</v>
      </c>
      <c r="K34" s="20"/>
      <c r="L34" s="20"/>
    </row>
    <row r="35" spans="1:12" ht="26.25" customHeight="1" thickBot="1">
      <c r="A35" s="74">
        <v>21</v>
      </c>
      <c r="B35" s="57" t="s">
        <v>25</v>
      </c>
      <c r="C35" s="58">
        <v>199795.76121372031</v>
      </c>
      <c r="D35" s="58">
        <v>193571.50714285715</v>
      </c>
      <c r="E35" s="59">
        <v>123045.46896551724</v>
      </c>
      <c r="F35" s="59">
        <v>366316.18793650804</v>
      </c>
      <c r="G35" s="58">
        <v>571457.96000000008</v>
      </c>
      <c r="H35" s="60">
        <v>585667</v>
      </c>
      <c r="K35" s="20"/>
      <c r="L35" s="20"/>
    </row>
    <row r="36" spans="1:12" ht="26.25" customHeight="1">
      <c r="K36" s="20"/>
      <c r="L36" s="20"/>
    </row>
  </sheetData>
  <mergeCells count="4">
    <mergeCell ref="A2:A3"/>
    <mergeCell ref="B2:B3"/>
    <mergeCell ref="C2:H2"/>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4575A-8A38-4128-A0CE-50BE3A61B8BB}">
  <dimension ref="A1:P28"/>
  <sheetViews>
    <sheetView rightToLeft="1" workbookViewId="0">
      <selection activeCell="Q9" sqref="P9:Q9"/>
    </sheetView>
  </sheetViews>
  <sheetFormatPr defaultRowHeight="12.75"/>
  <cols>
    <col min="1" max="1" width="10.7109375" style="88" customWidth="1"/>
    <col min="2" max="2" width="52.7109375" style="8" customWidth="1"/>
    <col min="3" max="13" width="19" style="8" customWidth="1"/>
    <col min="14" max="14" width="18" style="8" customWidth="1"/>
    <col min="15" max="15" width="16" style="8" customWidth="1"/>
    <col min="16" max="16" width="18.5703125" style="8" customWidth="1"/>
    <col min="17" max="16384" width="9.140625" style="8"/>
  </cols>
  <sheetData>
    <row r="1" spans="1:16" ht="24.75" customHeight="1" thickBot="1">
      <c r="A1" s="116" t="s">
        <v>108</v>
      </c>
      <c r="B1" s="116"/>
      <c r="C1" s="116"/>
      <c r="D1" s="116"/>
      <c r="E1" s="116"/>
      <c r="F1" s="116"/>
      <c r="G1" s="116"/>
      <c r="H1" s="116"/>
      <c r="I1" s="108"/>
      <c r="J1" s="108"/>
      <c r="K1" s="108"/>
      <c r="L1" s="108"/>
      <c r="M1" s="108"/>
    </row>
    <row r="2" spans="1:16" ht="24.75" customHeight="1">
      <c r="A2" s="128" t="s">
        <v>34</v>
      </c>
      <c r="B2" s="130" t="s">
        <v>35</v>
      </c>
      <c r="C2" s="139" t="s">
        <v>109</v>
      </c>
      <c r="D2" s="140"/>
      <c r="E2" s="140"/>
      <c r="F2" s="140"/>
      <c r="G2" s="140"/>
      <c r="H2" s="141"/>
      <c r="I2" s="142" t="s">
        <v>110</v>
      </c>
      <c r="J2" s="142"/>
      <c r="K2" s="142"/>
      <c r="L2" s="142"/>
      <c r="M2" s="142"/>
      <c r="N2" s="143"/>
    </row>
    <row r="3" spans="1:16" ht="28.5" customHeight="1">
      <c r="A3" s="129"/>
      <c r="B3" s="131"/>
      <c r="C3" s="69">
        <v>1394</v>
      </c>
      <c r="D3" s="69">
        <v>1395</v>
      </c>
      <c r="E3" s="69">
        <v>1396</v>
      </c>
      <c r="F3" s="69">
        <v>1397</v>
      </c>
      <c r="G3" s="69">
        <v>1398</v>
      </c>
      <c r="H3" s="81">
        <v>1399</v>
      </c>
      <c r="I3" s="82">
        <v>1394</v>
      </c>
      <c r="J3" s="69">
        <v>1395</v>
      </c>
      <c r="K3" s="70">
        <v>1396</v>
      </c>
      <c r="L3" s="70">
        <v>1397</v>
      </c>
      <c r="M3" s="69">
        <v>1398</v>
      </c>
      <c r="N3" s="71">
        <v>1399</v>
      </c>
      <c r="O3" s="83"/>
      <c r="P3" s="83"/>
    </row>
    <row r="4" spans="1:16" ht="24.75" customHeight="1">
      <c r="A4" s="84"/>
      <c r="B4" s="23" t="s">
        <v>36</v>
      </c>
      <c r="C4" s="52">
        <v>13014762.235515978</v>
      </c>
      <c r="D4" s="52">
        <v>13648308.004142676</v>
      </c>
      <c r="E4" s="52">
        <v>14177924.513905132</v>
      </c>
      <c r="F4" s="52">
        <v>13076856.381911617</v>
      </c>
      <c r="G4" s="52">
        <v>17547842.029838715</v>
      </c>
      <c r="H4" s="54">
        <v>18829843</v>
      </c>
      <c r="I4" s="85">
        <v>8647194.1358056106</v>
      </c>
      <c r="J4" s="52">
        <v>9036890.0092650577</v>
      </c>
      <c r="K4" s="53">
        <v>9503769.6168701295</v>
      </c>
      <c r="L4" s="53">
        <v>8847020.8515488449</v>
      </c>
      <c r="M4" s="52">
        <v>8871740.4058517683</v>
      </c>
      <c r="N4" s="62">
        <v>9114905</v>
      </c>
      <c r="O4" s="83"/>
      <c r="P4" s="86"/>
    </row>
    <row r="5" spans="1:16" ht="24.75" customHeight="1">
      <c r="A5" s="73">
        <v>10</v>
      </c>
      <c r="B5" s="23" t="s">
        <v>37</v>
      </c>
      <c r="C5" s="52">
        <v>1908076.5486956725</v>
      </c>
      <c r="D5" s="52">
        <v>1970479.8074786437</v>
      </c>
      <c r="E5" s="52">
        <v>1861980.7976440573</v>
      </c>
      <c r="F5" s="52">
        <v>1939073.5022821871</v>
      </c>
      <c r="G5" s="52">
        <v>2332419.053400177</v>
      </c>
      <c r="H5" s="54">
        <v>1967220</v>
      </c>
      <c r="I5" s="85">
        <v>4117827.5656666639</v>
      </c>
      <c r="J5" s="52">
        <v>4246738.6242293594</v>
      </c>
      <c r="K5" s="53">
        <v>4325272.4546103617</v>
      </c>
      <c r="L5" s="53">
        <v>4399466.9170784429</v>
      </c>
      <c r="M5" s="52">
        <v>4434255.8953612521</v>
      </c>
      <c r="N5" s="62">
        <v>4427379</v>
      </c>
      <c r="O5" s="86"/>
      <c r="P5" s="86"/>
    </row>
    <row r="6" spans="1:16" ht="24.75" customHeight="1">
      <c r="A6" s="73">
        <v>11</v>
      </c>
      <c r="B6" s="23" t="s">
        <v>38</v>
      </c>
      <c r="C6" s="52">
        <v>16017.257000000001</v>
      </c>
      <c r="D6" s="52">
        <v>16613.323666666667</v>
      </c>
      <c r="E6" s="52">
        <v>16527.735650793649</v>
      </c>
      <c r="F6" s="52">
        <v>16179.849142857141</v>
      </c>
      <c r="G6" s="52">
        <v>26730</v>
      </c>
      <c r="H6" s="54">
        <v>24913</v>
      </c>
      <c r="I6" s="85">
        <v>168526</v>
      </c>
      <c r="J6" s="52">
        <v>176387</v>
      </c>
      <c r="K6" s="53">
        <v>186561.66666666669</v>
      </c>
      <c r="L6" s="53">
        <v>218910.85714285713</v>
      </c>
      <c r="M6" s="52">
        <v>263733.5</v>
      </c>
      <c r="N6" s="62">
        <v>279764</v>
      </c>
      <c r="O6" s="86"/>
      <c r="P6" s="86"/>
    </row>
    <row r="7" spans="1:16" ht="24.75" customHeight="1">
      <c r="A7" s="73">
        <v>12</v>
      </c>
      <c r="B7" s="23" t="s">
        <v>39</v>
      </c>
      <c r="C7" s="52">
        <v>171.9</v>
      </c>
      <c r="D7" s="52">
        <v>177.9</v>
      </c>
      <c r="E7" s="52">
        <v>137.9</v>
      </c>
      <c r="F7" s="52">
        <v>151.4</v>
      </c>
      <c r="G7" s="52">
        <v>122.07</v>
      </c>
      <c r="H7" s="54">
        <v>259</v>
      </c>
      <c r="I7" s="85">
        <v>127</v>
      </c>
      <c r="J7" s="52">
        <v>127</v>
      </c>
      <c r="K7" s="53">
        <v>94.5</v>
      </c>
      <c r="L7" s="53">
        <v>128.5</v>
      </c>
      <c r="M7" s="52">
        <v>302</v>
      </c>
      <c r="N7" s="62">
        <v>452</v>
      </c>
      <c r="O7" s="86"/>
      <c r="P7" s="86"/>
    </row>
    <row r="8" spans="1:16" ht="24.75" customHeight="1">
      <c r="A8" s="73">
        <v>13</v>
      </c>
      <c r="B8" s="23" t="s">
        <v>40</v>
      </c>
      <c r="C8" s="52">
        <v>21794.406666751544</v>
      </c>
      <c r="D8" s="52">
        <v>23540.760539960724</v>
      </c>
      <c r="E8" s="52">
        <v>27412.174302608688</v>
      </c>
      <c r="F8" s="52">
        <v>23671.880485787311</v>
      </c>
      <c r="G8" s="52">
        <v>23640.545079972926</v>
      </c>
      <c r="H8" s="54">
        <v>22809</v>
      </c>
      <c r="I8" s="85">
        <v>301430.23793396133</v>
      </c>
      <c r="J8" s="52">
        <v>320056.44192274666</v>
      </c>
      <c r="K8" s="53">
        <v>314255.60238829721</v>
      </c>
      <c r="L8" s="53">
        <v>291552.13708041963</v>
      </c>
      <c r="M8" s="52">
        <v>277022.80626705615</v>
      </c>
      <c r="N8" s="62">
        <v>290885</v>
      </c>
      <c r="O8" s="86"/>
      <c r="P8" s="86"/>
    </row>
    <row r="9" spans="1:16" ht="24.75" customHeight="1">
      <c r="A9" s="73">
        <v>14</v>
      </c>
      <c r="B9" s="23" t="s">
        <v>41</v>
      </c>
      <c r="C9" s="52">
        <v>576.39214285714274</v>
      </c>
      <c r="D9" s="52">
        <v>738.5757244716068</v>
      </c>
      <c r="E9" s="52">
        <v>563.58126068376077</v>
      </c>
      <c r="F9" s="52">
        <v>632.24228475228483</v>
      </c>
      <c r="G9" s="52">
        <v>414.17055555555561</v>
      </c>
      <c r="H9" s="54">
        <v>1488</v>
      </c>
      <c r="I9" s="85">
        <v>410.2</v>
      </c>
      <c r="J9" s="52">
        <v>615</v>
      </c>
      <c r="K9" s="53">
        <v>425.5</v>
      </c>
      <c r="L9" s="53">
        <v>1266.8333333333335</v>
      </c>
      <c r="M9" s="52">
        <v>185.66666666666666</v>
      </c>
      <c r="N9" s="62">
        <v>328</v>
      </c>
      <c r="O9" s="86"/>
      <c r="P9" s="86"/>
    </row>
    <row r="10" spans="1:16" ht="24.75" customHeight="1">
      <c r="A10" s="73">
        <v>15</v>
      </c>
      <c r="B10" s="23" t="s">
        <v>50</v>
      </c>
      <c r="C10" s="52">
        <v>1656.554666666668</v>
      </c>
      <c r="D10" s="52">
        <v>2179.4857219662058</v>
      </c>
      <c r="E10" s="52">
        <v>2267.128168242577</v>
      </c>
      <c r="F10" s="52">
        <v>1175.8499999999999</v>
      </c>
      <c r="G10" s="52">
        <v>1153.9037229437229</v>
      </c>
      <c r="H10" s="54">
        <v>1590</v>
      </c>
      <c r="I10" s="85">
        <v>1772.6926666666668</v>
      </c>
      <c r="J10" s="52">
        <v>2372.9593333333332</v>
      </c>
      <c r="K10" s="53">
        <v>2731.7260000000001</v>
      </c>
      <c r="L10" s="53">
        <v>1902.5260000000001</v>
      </c>
      <c r="M10" s="52">
        <v>1517.4221038961039</v>
      </c>
      <c r="N10" s="62">
        <v>1194</v>
      </c>
      <c r="O10" s="86"/>
      <c r="P10" s="86"/>
    </row>
    <row r="11" spans="1:16" ht="28.5" customHeight="1">
      <c r="A11" s="73">
        <v>16</v>
      </c>
      <c r="B11" s="23" t="s">
        <v>59</v>
      </c>
      <c r="C11" s="52">
        <v>46452.633000000002</v>
      </c>
      <c r="D11" s="52">
        <v>49743.026456109372</v>
      </c>
      <c r="E11" s="52">
        <v>51802.776297029697</v>
      </c>
      <c r="F11" s="52">
        <v>37829.470714285708</v>
      </c>
      <c r="G11" s="52">
        <v>29537.442063492068</v>
      </c>
      <c r="H11" s="54">
        <v>26245</v>
      </c>
      <c r="I11" s="85">
        <v>182.44499999999999</v>
      </c>
      <c r="J11" s="52">
        <v>204.49708333333334</v>
      </c>
      <c r="K11" s="53">
        <v>238.5333333333333</v>
      </c>
      <c r="L11" s="53">
        <v>173.27619047619049</v>
      </c>
      <c r="M11" s="52">
        <v>568.64285714285711</v>
      </c>
      <c r="N11" s="62">
        <v>579</v>
      </c>
      <c r="O11" s="86"/>
      <c r="P11" s="86"/>
    </row>
    <row r="12" spans="1:16" ht="24.75" customHeight="1">
      <c r="A12" s="73">
        <v>17</v>
      </c>
      <c r="B12" s="23" t="s">
        <v>51</v>
      </c>
      <c r="C12" s="52">
        <v>90381.17766666667</v>
      </c>
      <c r="D12" s="52">
        <v>100426.89755943515</v>
      </c>
      <c r="E12" s="52">
        <v>120772.37619746923</v>
      </c>
      <c r="F12" s="52">
        <v>119307.68974074074</v>
      </c>
      <c r="G12" s="52">
        <v>93473.843333333323</v>
      </c>
      <c r="H12" s="54">
        <v>92974</v>
      </c>
      <c r="I12" s="85">
        <v>47539.548999999999</v>
      </c>
      <c r="J12" s="52">
        <v>53775.435855500822</v>
      </c>
      <c r="K12" s="53">
        <v>54897.932571428581</v>
      </c>
      <c r="L12" s="53">
        <v>49783.797619047611</v>
      </c>
      <c r="M12" s="52">
        <v>380746.66666666669</v>
      </c>
      <c r="N12" s="62">
        <v>54071</v>
      </c>
      <c r="O12" s="86"/>
      <c r="P12" s="86"/>
    </row>
    <row r="13" spans="1:16" ht="24.75" customHeight="1">
      <c r="A13" s="73">
        <v>18</v>
      </c>
      <c r="B13" s="23" t="s">
        <v>42</v>
      </c>
      <c r="C13" s="52">
        <v>3381.8393999999989</v>
      </c>
      <c r="D13" s="52">
        <v>3373.9738095238085</v>
      </c>
      <c r="E13" s="52">
        <v>3309.8329507649214</v>
      </c>
      <c r="F13" s="52">
        <v>2968.8997520301045</v>
      </c>
      <c r="G13" s="52">
        <v>2107.0332096064858</v>
      </c>
      <c r="H13" s="54">
        <v>2113</v>
      </c>
      <c r="I13" s="85">
        <v>945.19400000000007</v>
      </c>
      <c r="J13" s="52">
        <v>837.89685714285713</v>
      </c>
      <c r="K13" s="53">
        <v>1092.7525714285714</v>
      </c>
      <c r="L13" s="53">
        <v>748.90670944741532</v>
      </c>
      <c r="M13" s="52">
        <v>823.93403134796233</v>
      </c>
      <c r="N13" s="62">
        <v>645</v>
      </c>
      <c r="O13" s="86"/>
      <c r="P13" s="86"/>
    </row>
    <row r="14" spans="1:16" ht="24.75" customHeight="1">
      <c r="A14" s="73">
        <v>19</v>
      </c>
      <c r="B14" s="23" t="s">
        <v>52</v>
      </c>
      <c r="C14" s="52">
        <v>1186793.7743333336</v>
      </c>
      <c r="D14" s="52">
        <v>1194861.3419999999</v>
      </c>
      <c r="E14" s="52">
        <v>1175323.3000000003</v>
      </c>
      <c r="F14" s="52">
        <v>1046422.0333333334</v>
      </c>
      <c r="G14" s="52">
        <v>1418402.2843333334</v>
      </c>
      <c r="H14" s="54">
        <v>1451147</v>
      </c>
      <c r="I14" s="85">
        <v>1199453.2009999999</v>
      </c>
      <c r="J14" s="52">
        <v>1203223.526190476</v>
      </c>
      <c r="K14" s="53">
        <v>1204822.8333333335</v>
      </c>
      <c r="L14" s="53">
        <v>937508.95000000007</v>
      </c>
      <c r="M14" s="52">
        <v>945007.93333333335</v>
      </c>
      <c r="N14" s="62">
        <v>1016962</v>
      </c>
      <c r="O14" s="86"/>
      <c r="P14" s="86"/>
    </row>
    <row r="15" spans="1:16" ht="24.75" customHeight="1">
      <c r="A15" s="73">
        <v>20</v>
      </c>
      <c r="B15" s="23" t="s">
        <v>60</v>
      </c>
      <c r="C15" s="52">
        <v>272190.80533333338</v>
      </c>
      <c r="D15" s="52">
        <v>422830.44109396194</v>
      </c>
      <c r="E15" s="52">
        <v>429808.96934555966</v>
      </c>
      <c r="F15" s="52">
        <v>577309.68490476208</v>
      </c>
      <c r="G15" s="52">
        <v>557632.64963888889</v>
      </c>
      <c r="H15" s="54">
        <v>513564</v>
      </c>
      <c r="I15" s="85">
        <v>1238708.9182463777</v>
      </c>
      <c r="J15" s="52">
        <v>1358030.5012186139</v>
      </c>
      <c r="K15" s="53">
        <v>1703148.6575434888</v>
      </c>
      <c r="L15" s="53">
        <v>1454102.6909671086</v>
      </c>
      <c r="M15" s="52">
        <v>877217.32666666678</v>
      </c>
      <c r="N15" s="62">
        <v>1142179</v>
      </c>
      <c r="O15" s="86"/>
      <c r="P15" s="86"/>
    </row>
    <row r="16" spans="1:16" ht="24.75" customHeight="1">
      <c r="A16" s="73">
        <v>21</v>
      </c>
      <c r="B16" s="23" t="s">
        <v>61</v>
      </c>
      <c r="C16" s="52">
        <v>78037.976334776351</v>
      </c>
      <c r="D16" s="52">
        <v>80293.779559907853</v>
      </c>
      <c r="E16" s="52">
        <v>81374.535637362642</v>
      </c>
      <c r="F16" s="52">
        <v>94414.478959595945</v>
      </c>
      <c r="G16" s="52">
        <v>127271.60666666667</v>
      </c>
      <c r="H16" s="54">
        <v>72489</v>
      </c>
      <c r="I16" s="85">
        <v>43813.447969696965</v>
      </c>
      <c r="J16" s="52">
        <v>67207.751000000004</v>
      </c>
      <c r="K16" s="53">
        <v>68895.429571428569</v>
      </c>
      <c r="L16" s="53">
        <v>81644.833333333328</v>
      </c>
      <c r="M16" s="52">
        <v>167485.66666666666</v>
      </c>
      <c r="N16" s="62">
        <v>197914</v>
      </c>
      <c r="O16" s="86"/>
      <c r="P16" s="86"/>
    </row>
    <row r="17" spans="1:16" ht="24.75" customHeight="1">
      <c r="A17" s="73">
        <v>22</v>
      </c>
      <c r="B17" s="23" t="s">
        <v>62</v>
      </c>
      <c r="C17" s="52">
        <v>60044.445860472886</v>
      </c>
      <c r="D17" s="52">
        <v>65601.576952152333</v>
      </c>
      <c r="E17" s="52">
        <v>68844.79048371414</v>
      </c>
      <c r="F17" s="52">
        <v>69242.323137537474</v>
      </c>
      <c r="G17" s="52">
        <v>115957.05220903624</v>
      </c>
      <c r="H17" s="54">
        <v>116384</v>
      </c>
      <c r="I17" s="85">
        <v>15258.561492285493</v>
      </c>
      <c r="J17" s="52">
        <v>18558.903008419238</v>
      </c>
      <c r="K17" s="53">
        <v>19513.115552617863</v>
      </c>
      <c r="L17" s="53">
        <v>17752.198815342363</v>
      </c>
      <c r="M17" s="52">
        <v>19790.434311885154</v>
      </c>
      <c r="N17" s="62">
        <v>14023</v>
      </c>
      <c r="O17" s="86"/>
      <c r="P17" s="86"/>
    </row>
    <row r="18" spans="1:16" ht="24.75" customHeight="1">
      <c r="A18" s="73">
        <v>23</v>
      </c>
      <c r="B18" s="23" t="s">
        <v>63</v>
      </c>
      <c r="C18" s="52">
        <v>4110534.3483446115</v>
      </c>
      <c r="D18" s="52">
        <v>4444328.5270151161</v>
      </c>
      <c r="E18" s="52">
        <v>4727474.473595974</v>
      </c>
      <c r="F18" s="52">
        <v>3599346.6907151919</v>
      </c>
      <c r="G18" s="52">
        <v>4265857.1732452735</v>
      </c>
      <c r="H18" s="54">
        <v>4103610</v>
      </c>
      <c r="I18" s="85">
        <v>601522.32908636308</v>
      </c>
      <c r="J18" s="52">
        <v>618521.00768159749</v>
      </c>
      <c r="K18" s="53">
        <v>582689.71722786012</v>
      </c>
      <c r="L18" s="53">
        <v>523277</v>
      </c>
      <c r="M18" s="52">
        <v>495241.71418494225</v>
      </c>
      <c r="N18" s="62">
        <v>522098</v>
      </c>
      <c r="O18" s="86"/>
      <c r="P18" s="86"/>
    </row>
    <row r="19" spans="1:16" ht="24.75" customHeight="1">
      <c r="A19" s="73">
        <v>24</v>
      </c>
      <c r="B19" s="23" t="s">
        <v>43</v>
      </c>
      <c r="C19" s="52">
        <v>4921897.5285909027</v>
      </c>
      <c r="D19" s="52">
        <v>4961768.1105882591</v>
      </c>
      <c r="E19" s="52">
        <v>5258127.7753959363</v>
      </c>
      <c r="F19" s="52">
        <v>5229397.1393468957</v>
      </c>
      <c r="G19" s="52">
        <v>8276565.4469811842</v>
      </c>
      <c r="H19" s="54">
        <v>10138916</v>
      </c>
      <c r="I19" s="85">
        <v>291081.94566666672</v>
      </c>
      <c r="J19" s="52">
        <v>303172.48339560442</v>
      </c>
      <c r="K19" s="53">
        <v>374644.21207729471</v>
      </c>
      <c r="L19" s="53">
        <v>252968.49285714288</v>
      </c>
      <c r="M19" s="52">
        <v>382265.70918803418</v>
      </c>
      <c r="N19" s="62">
        <v>540034</v>
      </c>
      <c r="O19" s="86"/>
      <c r="P19" s="86"/>
    </row>
    <row r="20" spans="1:16" ht="27.75" customHeight="1">
      <c r="A20" s="73">
        <v>25</v>
      </c>
      <c r="B20" s="23" t="s">
        <v>53</v>
      </c>
      <c r="C20" s="52">
        <v>89489.663692307586</v>
      </c>
      <c r="D20" s="52">
        <v>92544.538381377468</v>
      </c>
      <c r="E20" s="52">
        <v>95662.884007915229</v>
      </c>
      <c r="F20" s="52">
        <v>91389.850207792202</v>
      </c>
      <c r="G20" s="52">
        <v>64207.960975719652</v>
      </c>
      <c r="H20" s="54">
        <v>53862</v>
      </c>
      <c r="I20" s="85">
        <v>83917.481333333344</v>
      </c>
      <c r="J20" s="52">
        <v>88365.7485079365</v>
      </c>
      <c r="K20" s="53">
        <v>90149.740521797066</v>
      </c>
      <c r="L20" s="53">
        <v>74672.582539682538</v>
      </c>
      <c r="M20" s="52">
        <v>102389.51587301587</v>
      </c>
      <c r="N20" s="62">
        <v>91618</v>
      </c>
      <c r="O20" s="86"/>
      <c r="P20" s="86"/>
    </row>
    <row r="21" spans="1:16" ht="24.75" customHeight="1">
      <c r="A21" s="73">
        <v>26</v>
      </c>
      <c r="B21" s="23" t="s">
        <v>54</v>
      </c>
      <c r="C21" s="52">
        <v>5010.0560000000005</v>
      </c>
      <c r="D21" s="52">
        <v>6234.0858351648349</v>
      </c>
      <c r="E21" s="52">
        <v>6167.355182072828</v>
      </c>
      <c r="F21" s="52">
        <v>4587.4699999999993</v>
      </c>
      <c r="G21" s="52">
        <v>6038.519404761907</v>
      </c>
      <c r="H21" s="54">
        <v>5665</v>
      </c>
      <c r="I21" s="85">
        <v>4749.1000000000004</v>
      </c>
      <c r="J21" s="52">
        <v>5169.5586080586081</v>
      </c>
      <c r="K21" s="53">
        <v>5441.9022277227723</v>
      </c>
      <c r="L21" s="53">
        <v>4242</v>
      </c>
      <c r="M21" s="52">
        <v>7635</v>
      </c>
      <c r="N21" s="62">
        <v>5872</v>
      </c>
      <c r="O21" s="86"/>
      <c r="P21" s="86"/>
    </row>
    <row r="22" spans="1:16" ht="24.75" customHeight="1">
      <c r="A22" s="73">
        <v>27</v>
      </c>
      <c r="B22" s="23" t="s">
        <v>44</v>
      </c>
      <c r="C22" s="52">
        <v>27374.478971428573</v>
      </c>
      <c r="D22" s="52">
        <v>29501.211738095237</v>
      </c>
      <c r="E22" s="52">
        <v>29791.831144323511</v>
      </c>
      <c r="F22" s="52">
        <v>25400.35871428571</v>
      </c>
      <c r="G22" s="52">
        <v>27580.588901098905</v>
      </c>
      <c r="H22" s="54">
        <v>13669</v>
      </c>
      <c r="I22" s="85">
        <v>35682.731333333337</v>
      </c>
      <c r="J22" s="52">
        <v>44184.585095238093</v>
      </c>
      <c r="K22" s="53">
        <v>39696.855119658125</v>
      </c>
      <c r="L22" s="53">
        <v>38961.397000000012</v>
      </c>
      <c r="M22" s="52">
        <v>34650.239857142864</v>
      </c>
      <c r="N22" s="62">
        <v>30682</v>
      </c>
      <c r="O22" s="86"/>
      <c r="P22" s="86"/>
    </row>
    <row r="23" spans="1:16" ht="24.75" customHeight="1">
      <c r="A23" s="73">
        <v>28</v>
      </c>
      <c r="B23" s="23" t="s">
        <v>55</v>
      </c>
      <c r="C23" s="52">
        <v>61812.455097435763</v>
      </c>
      <c r="D23" s="52">
        <v>60161.037743534238</v>
      </c>
      <c r="E23" s="52">
        <v>81164.151280889622</v>
      </c>
      <c r="F23" s="52">
        <v>74261.102764679759</v>
      </c>
      <c r="G23" s="52">
        <v>26836.47903576816</v>
      </c>
      <c r="H23" s="54">
        <v>22762</v>
      </c>
      <c r="I23" s="85">
        <v>16431.179076923079</v>
      </c>
      <c r="J23" s="52">
        <v>15004.866</v>
      </c>
      <c r="K23" s="53">
        <v>14672.7</v>
      </c>
      <c r="L23" s="53">
        <v>13928.812454212455</v>
      </c>
      <c r="M23" s="52">
        <v>14388.484593837537</v>
      </c>
      <c r="N23" s="62">
        <v>27530</v>
      </c>
      <c r="O23" s="86"/>
      <c r="P23" s="86"/>
    </row>
    <row r="24" spans="1:16" ht="24.75" customHeight="1">
      <c r="A24" s="73">
        <v>29</v>
      </c>
      <c r="B24" s="23" t="s">
        <v>56</v>
      </c>
      <c r="C24" s="52">
        <v>91013.677792270522</v>
      </c>
      <c r="D24" s="52">
        <v>102491.1682202644</v>
      </c>
      <c r="E24" s="52">
        <v>121093.59384585606</v>
      </c>
      <c r="F24" s="52">
        <v>111419.12733283384</v>
      </c>
      <c r="G24" s="52">
        <v>142198.39055137843</v>
      </c>
      <c r="H24" s="54">
        <v>188682</v>
      </c>
      <c r="I24" s="85">
        <v>466719.34899999993</v>
      </c>
      <c r="J24" s="52">
        <v>504612.17399999994</v>
      </c>
      <c r="K24" s="53">
        <v>505015.73333333328</v>
      </c>
      <c r="L24" s="53">
        <v>474122.6</v>
      </c>
      <c r="M24" s="52">
        <v>456119.66666666669</v>
      </c>
      <c r="N24" s="62">
        <v>457728</v>
      </c>
      <c r="O24" s="86"/>
      <c r="P24" s="86"/>
    </row>
    <row r="25" spans="1:16" ht="24.75" customHeight="1">
      <c r="A25" s="73">
        <v>30</v>
      </c>
      <c r="B25" s="23" t="s">
        <v>45</v>
      </c>
      <c r="C25" s="52">
        <v>4348.4144615384612</v>
      </c>
      <c r="D25" s="52">
        <v>4672.5386315789474</v>
      </c>
      <c r="E25" s="52">
        <v>3410.5360000000001</v>
      </c>
      <c r="F25" s="52">
        <v>3488.9137777777769</v>
      </c>
      <c r="G25" s="52">
        <v>2058.083333333333</v>
      </c>
      <c r="H25" s="54">
        <v>2409</v>
      </c>
      <c r="I25" s="85">
        <v>1066.0219999999999</v>
      </c>
      <c r="J25" s="52">
        <v>911.822</v>
      </c>
      <c r="K25" s="53">
        <v>908</v>
      </c>
      <c r="L25" s="53">
        <v>979</v>
      </c>
      <c r="M25" s="52">
        <v>845.58333333333337</v>
      </c>
      <c r="N25" s="62">
        <v>1250</v>
      </c>
      <c r="O25" s="86"/>
      <c r="P25" s="86"/>
    </row>
    <row r="26" spans="1:16" ht="24.75" customHeight="1">
      <c r="A26" s="73">
        <v>31</v>
      </c>
      <c r="B26" s="23" t="s">
        <v>46</v>
      </c>
      <c r="C26" s="52">
        <v>13739.975472222228</v>
      </c>
      <c r="D26" s="52">
        <v>12227.930133431713</v>
      </c>
      <c r="E26" s="52">
        <v>10751.748006948068</v>
      </c>
      <c r="F26" s="52">
        <v>4215.8476117968721</v>
      </c>
      <c r="G26" s="52">
        <v>3944.4372997823448</v>
      </c>
      <c r="H26" s="54">
        <v>2757</v>
      </c>
      <c r="I26" s="85">
        <v>7573</v>
      </c>
      <c r="J26" s="52">
        <v>6435.9675854037268</v>
      </c>
      <c r="K26" s="53">
        <v>6090.400220022002</v>
      </c>
      <c r="L26" s="53">
        <v>6305.8137254901967</v>
      </c>
      <c r="M26" s="52">
        <v>6320.7222222222217</v>
      </c>
      <c r="N26" s="62">
        <v>6216</v>
      </c>
      <c r="O26" s="86"/>
      <c r="P26" s="86"/>
    </row>
    <row r="27" spans="1:16" ht="24.75" customHeight="1">
      <c r="A27" s="73">
        <v>32</v>
      </c>
      <c r="B27" s="23" t="s">
        <v>57</v>
      </c>
      <c r="C27" s="52">
        <v>2891.2866594516604</v>
      </c>
      <c r="D27" s="52">
        <v>2296.6152930402932</v>
      </c>
      <c r="E27" s="52">
        <v>2878.7675069013112</v>
      </c>
      <c r="F27" s="52">
        <v>4317.0767025089608</v>
      </c>
      <c r="G27" s="52">
        <v>3315.2958974358971</v>
      </c>
      <c r="H27" s="54">
        <v>4154</v>
      </c>
      <c r="I27" s="85">
        <v>1648.652</v>
      </c>
      <c r="J27" s="52">
        <v>1465.2596923076921</v>
      </c>
      <c r="K27" s="53">
        <v>1585.652</v>
      </c>
      <c r="L27" s="53">
        <v>1900.7287025089606</v>
      </c>
      <c r="M27" s="52">
        <v>2416.875</v>
      </c>
      <c r="N27" s="62">
        <v>4764</v>
      </c>
      <c r="O27" s="86"/>
      <c r="P27" s="86"/>
    </row>
    <row r="28" spans="1:16" ht="24.75" customHeight="1" thickBot="1">
      <c r="A28" s="74">
        <v>33</v>
      </c>
      <c r="B28" s="28" t="s">
        <v>58</v>
      </c>
      <c r="C28" s="58">
        <v>1074.6393333333333</v>
      </c>
      <c r="D28" s="58">
        <v>1221.3499999999999</v>
      </c>
      <c r="E28" s="58">
        <v>1275.5</v>
      </c>
      <c r="F28" s="58">
        <v>653.5</v>
      </c>
      <c r="G28" s="58">
        <v>378</v>
      </c>
      <c r="H28" s="60">
        <v>153</v>
      </c>
      <c r="I28" s="87">
        <v>807.33333333333326</v>
      </c>
      <c r="J28" s="58">
        <v>911</v>
      </c>
      <c r="K28" s="59">
        <v>924</v>
      </c>
      <c r="L28" s="59">
        <v>720</v>
      </c>
      <c r="M28" s="58">
        <v>809</v>
      </c>
      <c r="N28" s="60">
        <v>732</v>
      </c>
      <c r="O28" s="86"/>
      <c r="P28" s="86"/>
    </row>
  </sheetData>
  <mergeCells count="5">
    <mergeCell ref="A1:M1"/>
    <mergeCell ref="A2:A3"/>
    <mergeCell ref="B2:B3"/>
    <mergeCell ref="C2:H2"/>
    <mergeCell ref="I2:N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A419-C961-43D1-8AF7-1F3192C7F4D8}">
  <dimension ref="A1:P35"/>
  <sheetViews>
    <sheetView rightToLeft="1" workbookViewId="0">
      <selection sqref="A1:M1"/>
    </sheetView>
  </sheetViews>
  <sheetFormatPr defaultRowHeight="12.75"/>
  <cols>
    <col min="1" max="1" width="9.140625" style="88"/>
    <col min="2" max="2" width="20.85546875" style="8" customWidth="1"/>
    <col min="3" max="14" width="14.7109375" style="8" customWidth="1"/>
    <col min="15" max="16" width="18.42578125" style="8" customWidth="1"/>
    <col min="17" max="16384" width="9.140625" style="8"/>
  </cols>
  <sheetData>
    <row r="1" spans="1:16" ht="27" customHeight="1" thickBot="1">
      <c r="A1" s="116" t="s">
        <v>111</v>
      </c>
      <c r="B1" s="116"/>
      <c r="C1" s="116"/>
      <c r="D1" s="116"/>
      <c r="E1" s="116"/>
      <c r="F1" s="116"/>
      <c r="G1" s="116"/>
      <c r="H1" s="116"/>
      <c r="I1" s="108"/>
      <c r="J1" s="108"/>
      <c r="K1" s="108"/>
      <c r="L1" s="108"/>
      <c r="M1" s="108"/>
    </row>
    <row r="2" spans="1:16" ht="22.5" customHeight="1">
      <c r="A2" s="144" t="s">
        <v>48</v>
      </c>
      <c r="B2" s="146" t="s">
        <v>27</v>
      </c>
      <c r="C2" s="139" t="s">
        <v>109</v>
      </c>
      <c r="D2" s="140"/>
      <c r="E2" s="140"/>
      <c r="F2" s="140"/>
      <c r="G2" s="140"/>
      <c r="H2" s="141"/>
      <c r="I2" s="142" t="s">
        <v>110</v>
      </c>
      <c r="J2" s="142"/>
      <c r="K2" s="142"/>
      <c r="L2" s="142"/>
      <c r="M2" s="142"/>
      <c r="N2" s="143"/>
    </row>
    <row r="3" spans="1:16" ht="30" customHeight="1">
      <c r="A3" s="145"/>
      <c r="B3" s="147"/>
      <c r="C3" s="69">
        <v>1394</v>
      </c>
      <c r="D3" s="69">
        <v>1395</v>
      </c>
      <c r="E3" s="69">
        <v>1396</v>
      </c>
      <c r="F3" s="69">
        <v>1397</v>
      </c>
      <c r="G3" s="69">
        <v>1398</v>
      </c>
      <c r="H3" s="81">
        <v>1399</v>
      </c>
      <c r="I3" s="82">
        <v>1394</v>
      </c>
      <c r="J3" s="69">
        <v>1395</v>
      </c>
      <c r="K3" s="70">
        <v>1396</v>
      </c>
      <c r="L3" s="70">
        <v>1397</v>
      </c>
      <c r="M3" s="69">
        <v>1398</v>
      </c>
      <c r="N3" s="71">
        <v>1399</v>
      </c>
    </row>
    <row r="4" spans="1:16" ht="22.5" customHeight="1">
      <c r="A4" s="89"/>
      <c r="B4" s="90" t="s">
        <v>28</v>
      </c>
      <c r="C4" s="52">
        <v>13014762.235516028</v>
      </c>
      <c r="D4" s="52">
        <v>13648308.004142674</v>
      </c>
      <c r="E4" s="52">
        <v>14177924.513905112</v>
      </c>
      <c r="F4" s="52">
        <v>13076856.381911632</v>
      </c>
      <c r="G4" s="52">
        <v>17547842.029838711</v>
      </c>
      <c r="H4" s="54">
        <v>18829843</v>
      </c>
      <c r="I4" s="85">
        <v>8647194.135805605</v>
      </c>
      <c r="J4" s="52">
        <v>9036890.0092650633</v>
      </c>
      <c r="K4" s="53">
        <v>9503769.6168701183</v>
      </c>
      <c r="L4" s="53">
        <v>8847021.7676917557</v>
      </c>
      <c r="M4" s="52">
        <v>8871740.4058517702</v>
      </c>
      <c r="N4" s="62">
        <v>9114905</v>
      </c>
      <c r="O4" s="83"/>
      <c r="P4" s="83"/>
    </row>
    <row r="5" spans="1:16" ht="22.5" customHeight="1">
      <c r="A5" s="73">
        <v>3</v>
      </c>
      <c r="B5" s="55" t="s">
        <v>0</v>
      </c>
      <c r="C5" s="52">
        <v>341722.74511111109</v>
      </c>
      <c r="D5" s="52">
        <v>357327.68010827404</v>
      </c>
      <c r="E5" s="52">
        <v>323126.30361340789</v>
      </c>
      <c r="F5" s="52">
        <v>282465.15480903257</v>
      </c>
      <c r="G5" s="52">
        <v>365369.35181138787</v>
      </c>
      <c r="H5" s="54">
        <v>422713</v>
      </c>
      <c r="I5" s="85">
        <v>245703.5</v>
      </c>
      <c r="J5" s="52">
        <v>365147.2317404818</v>
      </c>
      <c r="K5" s="53">
        <v>362639.58103133977</v>
      </c>
      <c r="L5" s="53">
        <v>335095.92857142858</v>
      </c>
      <c r="M5" s="52">
        <v>317695.99007936509</v>
      </c>
      <c r="N5" s="62">
        <v>399949</v>
      </c>
      <c r="O5" s="86"/>
      <c r="P5" s="86"/>
    </row>
    <row r="6" spans="1:16" ht="22.5" customHeight="1">
      <c r="A6" s="73">
        <v>4</v>
      </c>
      <c r="B6" s="55" t="s">
        <v>1</v>
      </c>
      <c r="C6" s="52">
        <v>705651.08304761897</v>
      </c>
      <c r="D6" s="52">
        <v>730696.45068115939</v>
      </c>
      <c r="E6" s="52">
        <v>836082.24883586657</v>
      </c>
      <c r="F6" s="52">
        <v>862149.96856737579</v>
      </c>
      <c r="G6" s="52">
        <v>1024954.6811111112</v>
      </c>
      <c r="H6" s="54">
        <v>1223365</v>
      </c>
      <c r="I6" s="85">
        <v>48560</v>
      </c>
      <c r="J6" s="52">
        <v>42627.18260869565</v>
      </c>
      <c r="K6" s="53">
        <v>45235.762150220908</v>
      </c>
      <c r="L6" s="53">
        <v>44630</v>
      </c>
      <c r="M6" s="52">
        <v>56989.4</v>
      </c>
      <c r="N6" s="62">
        <v>62184</v>
      </c>
      <c r="O6" s="86"/>
      <c r="P6" s="86"/>
    </row>
    <row r="7" spans="1:16" ht="22.5" customHeight="1">
      <c r="A7" s="73">
        <v>24</v>
      </c>
      <c r="B7" s="55" t="s">
        <v>2</v>
      </c>
      <c r="C7" s="52">
        <v>220036.27599999995</v>
      </c>
      <c r="D7" s="52">
        <v>228080.3167142857</v>
      </c>
      <c r="E7" s="52">
        <v>219461.08581038349</v>
      </c>
      <c r="F7" s="52">
        <v>185436.62870567373</v>
      </c>
      <c r="G7" s="52">
        <v>197858.66666666669</v>
      </c>
      <c r="H7" s="54">
        <v>165251</v>
      </c>
      <c r="I7" s="85">
        <v>855831</v>
      </c>
      <c r="J7" s="52">
        <v>873049.97619047621</v>
      </c>
      <c r="K7" s="53">
        <v>895769.91458026506</v>
      </c>
      <c r="L7" s="53">
        <v>886261.47916666663</v>
      </c>
      <c r="M7" s="52">
        <v>857978.56666666688</v>
      </c>
      <c r="N7" s="62">
        <v>858529</v>
      </c>
      <c r="O7" s="86"/>
      <c r="P7" s="86"/>
    </row>
    <row r="8" spans="1:16" ht="22.5" customHeight="1">
      <c r="A8" s="73">
        <v>10</v>
      </c>
      <c r="B8" s="55" t="s">
        <v>3</v>
      </c>
      <c r="C8" s="52">
        <v>2611059.388047047</v>
      </c>
      <c r="D8" s="52">
        <v>2575166.1053626738</v>
      </c>
      <c r="E8" s="52">
        <v>2506130.7546391115</v>
      </c>
      <c r="F8" s="52">
        <v>1958784.7700817878</v>
      </c>
      <c r="G8" s="52">
        <v>1886630.8555382027</v>
      </c>
      <c r="H8" s="54">
        <v>3139466</v>
      </c>
      <c r="I8" s="85">
        <v>1229008.1341372079</v>
      </c>
      <c r="J8" s="52">
        <v>1278942.9389675898</v>
      </c>
      <c r="K8" s="53">
        <v>1202922.9810792624</v>
      </c>
      <c r="L8" s="53">
        <v>1286211.0717986245</v>
      </c>
      <c r="M8" s="52">
        <v>770374.07698712568</v>
      </c>
      <c r="N8" s="62">
        <v>997701</v>
      </c>
      <c r="O8" s="86"/>
      <c r="P8" s="86"/>
    </row>
    <row r="9" spans="1:16" ht="22.5" customHeight="1">
      <c r="A9" s="73">
        <v>30</v>
      </c>
      <c r="B9" s="55" t="s">
        <v>4</v>
      </c>
      <c r="C9" s="52">
        <v>145959.9065555555</v>
      </c>
      <c r="D9" s="52">
        <v>165592.5151018739</v>
      </c>
      <c r="E9" s="52">
        <v>165559.02949395974</v>
      </c>
      <c r="F9" s="52">
        <v>153885.39290308478</v>
      </c>
      <c r="G9" s="52">
        <v>151350.75071428571</v>
      </c>
      <c r="H9" s="54">
        <v>62597</v>
      </c>
      <c r="I9" s="85">
        <v>231421.54091304349</v>
      </c>
      <c r="J9" s="52">
        <v>237503.79754022669</v>
      </c>
      <c r="K9" s="53">
        <v>298963.42109856557</v>
      </c>
      <c r="L9" s="53">
        <v>195204.41186008838</v>
      </c>
      <c r="M9" s="52">
        <v>309813.46533333336</v>
      </c>
      <c r="N9" s="62">
        <v>233041</v>
      </c>
      <c r="O9" s="86"/>
      <c r="P9" s="86"/>
    </row>
    <row r="10" spans="1:16" ht="22.5" customHeight="1">
      <c r="A10" s="73">
        <v>16</v>
      </c>
      <c r="B10" s="55" t="s">
        <v>5</v>
      </c>
      <c r="C10" s="52">
        <v>59884</v>
      </c>
      <c r="D10" s="52">
        <v>59820.5</v>
      </c>
      <c r="E10" s="52">
        <v>40990.771898314451</v>
      </c>
      <c r="F10" s="52">
        <v>35613.297872340423</v>
      </c>
      <c r="G10" s="52">
        <v>18841.5</v>
      </c>
      <c r="H10" s="54">
        <v>3705</v>
      </c>
      <c r="I10" s="85">
        <v>2788</v>
      </c>
      <c r="J10" s="52">
        <v>2942</v>
      </c>
      <c r="K10" s="53">
        <v>2171.0639576917929</v>
      </c>
      <c r="L10" s="53">
        <v>2889.3333333333335</v>
      </c>
      <c r="M10" s="52">
        <v>1306</v>
      </c>
      <c r="N10" s="62">
        <v>1810</v>
      </c>
      <c r="O10" s="86"/>
      <c r="P10" s="86"/>
    </row>
    <row r="11" spans="1:16" ht="22.5" customHeight="1">
      <c r="A11" s="73">
        <v>18</v>
      </c>
      <c r="B11" s="55" t="s">
        <v>6</v>
      </c>
      <c r="C11" s="52">
        <v>85159.968999999983</v>
      </c>
      <c r="D11" s="52">
        <v>85000.565619047629</v>
      </c>
      <c r="E11" s="52">
        <v>85474.619871664981</v>
      </c>
      <c r="F11" s="52">
        <v>54098.297872340416</v>
      </c>
      <c r="G11" s="52">
        <v>115678.2</v>
      </c>
      <c r="H11" s="54">
        <v>160309</v>
      </c>
      <c r="I11" s="85">
        <v>368698.19299999997</v>
      </c>
      <c r="J11" s="52">
        <v>366407.32633333333</v>
      </c>
      <c r="K11" s="53">
        <v>381339.58431075112</v>
      </c>
      <c r="L11" s="53">
        <v>365243.67443004419</v>
      </c>
      <c r="M11" s="52">
        <v>288003.89999999997</v>
      </c>
      <c r="N11" s="62">
        <v>463782</v>
      </c>
      <c r="O11" s="86"/>
      <c r="P11" s="86"/>
    </row>
    <row r="12" spans="1:16" ht="22.5" customHeight="1">
      <c r="A12" s="73">
        <v>23</v>
      </c>
      <c r="B12" s="55" t="s">
        <v>7</v>
      </c>
      <c r="C12" s="52">
        <v>591179.48351192719</v>
      </c>
      <c r="D12" s="52">
        <v>502866.75177049416</v>
      </c>
      <c r="E12" s="52">
        <v>504449.66862815153</v>
      </c>
      <c r="F12" s="52">
        <v>383441.58312312543</v>
      </c>
      <c r="G12" s="52">
        <v>214672.48574349796</v>
      </c>
      <c r="H12" s="54">
        <v>634659</v>
      </c>
      <c r="I12" s="85">
        <v>486049.54428571428</v>
      </c>
      <c r="J12" s="52">
        <v>336220.27354161342</v>
      </c>
      <c r="K12" s="53">
        <v>340044.29274369456</v>
      </c>
      <c r="L12" s="53">
        <v>208112.81285387516</v>
      </c>
      <c r="M12" s="52">
        <v>1238447.3063074821</v>
      </c>
      <c r="N12" s="62">
        <v>1240176</v>
      </c>
      <c r="O12" s="86"/>
      <c r="P12" s="86"/>
    </row>
    <row r="13" spans="1:16" ht="22.5" customHeight="1">
      <c r="A13" s="73">
        <v>14</v>
      </c>
      <c r="B13" s="55" t="s">
        <v>64</v>
      </c>
      <c r="C13" s="52">
        <v>20312.527000000002</v>
      </c>
      <c r="D13" s="52">
        <v>21972.857217948716</v>
      </c>
      <c r="E13" s="52">
        <v>21011.202372340427</v>
      </c>
      <c r="F13" s="52">
        <v>19378.031872340427</v>
      </c>
      <c r="G13" s="52">
        <v>15789.314285714287</v>
      </c>
      <c r="H13" s="54">
        <v>19211</v>
      </c>
      <c r="I13" s="85">
        <v>283927.02600000001</v>
      </c>
      <c r="J13" s="52">
        <v>291393.02600000001</v>
      </c>
      <c r="K13" s="53">
        <v>291579.3308600884</v>
      </c>
      <c r="L13" s="53">
        <v>296626.54333333333</v>
      </c>
      <c r="M13" s="52">
        <v>5690</v>
      </c>
      <c r="N13" s="62">
        <v>9457</v>
      </c>
      <c r="O13" s="86"/>
      <c r="P13" s="86"/>
    </row>
    <row r="14" spans="1:16" ht="22.5" customHeight="1">
      <c r="A14" s="73">
        <v>29</v>
      </c>
      <c r="B14" s="55" t="s">
        <v>8</v>
      </c>
      <c r="C14" s="52">
        <v>43332.350999999995</v>
      </c>
      <c r="D14" s="52">
        <v>40059.717000000004</v>
      </c>
      <c r="E14" s="52">
        <v>40199.573744680849</v>
      </c>
      <c r="F14" s="52">
        <v>34957.765872340424</v>
      </c>
      <c r="G14" s="52">
        <v>52807.1</v>
      </c>
      <c r="H14" s="54">
        <v>59726</v>
      </c>
      <c r="I14" s="85">
        <v>104599.36</v>
      </c>
      <c r="J14" s="52">
        <v>106764.36</v>
      </c>
      <c r="K14" s="53">
        <v>106774.36</v>
      </c>
      <c r="L14" s="53">
        <v>97965</v>
      </c>
      <c r="M14" s="52">
        <v>21519</v>
      </c>
      <c r="N14" s="62">
        <v>22200</v>
      </c>
      <c r="O14" s="86"/>
      <c r="P14" s="86"/>
    </row>
    <row r="15" spans="1:16" ht="22.5" customHeight="1">
      <c r="A15" s="73">
        <v>9</v>
      </c>
      <c r="B15" s="55" t="s">
        <v>29</v>
      </c>
      <c r="C15" s="52">
        <v>204689.03460746197</v>
      </c>
      <c r="D15" s="52">
        <v>206833.79661395025</v>
      </c>
      <c r="E15" s="52">
        <v>201999.09526467038</v>
      </c>
      <c r="F15" s="52">
        <v>166907.59089672737</v>
      </c>
      <c r="G15" s="52">
        <v>251429.54305291519</v>
      </c>
      <c r="H15" s="54">
        <v>138176</v>
      </c>
      <c r="I15" s="85">
        <v>237971.52832678438</v>
      </c>
      <c r="J15" s="52">
        <v>313768.14027829136</v>
      </c>
      <c r="K15" s="53">
        <v>370722.44086228544</v>
      </c>
      <c r="L15" s="53">
        <v>291968.1699837484</v>
      </c>
      <c r="M15" s="52">
        <v>54294.338078810011</v>
      </c>
      <c r="N15" s="62">
        <v>55253</v>
      </c>
      <c r="O15" s="86"/>
      <c r="P15" s="86"/>
    </row>
    <row r="16" spans="1:16" ht="22.5" customHeight="1">
      <c r="A16" s="73">
        <v>28</v>
      </c>
      <c r="B16" s="55" t="s">
        <v>9</v>
      </c>
      <c r="C16" s="52">
        <v>44428.666999999994</v>
      </c>
      <c r="D16" s="52">
        <v>47548.350333333336</v>
      </c>
      <c r="E16" s="52">
        <v>47800.356300236403</v>
      </c>
      <c r="F16" s="52">
        <v>45942.327872340422</v>
      </c>
      <c r="G16" s="52">
        <v>1650678.5666666667</v>
      </c>
      <c r="H16" s="54">
        <v>965227</v>
      </c>
      <c r="I16" s="85">
        <v>26246</v>
      </c>
      <c r="J16" s="52">
        <v>28354.5</v>
      </c>
      <c r="K16" s="53">
        <v>28189.367430044182</v>
      </c>
      <c r="L16" s="53">
        <v>22803.333333333332</v>
      </c>
      <c r="M16" s="52">
        <v>35539</v>
      </c>
      <c r="N16" s="62">
        <v>34886</v>
      </c>
      <c r="O16" s="86"/>
      <c r="P16" s="86"/>
    </row>
    <row r="17" spans="1:16" ht="22.5" customHeight="1">
      <c r="A17" s="73">
        <v>6</v>
      </c>
      <c r="B17" s="55" t="s">
        <v>10</v>
      </c>
      <c r="C17" s="52">
        <v>1566762.8810000005</v>
      </c>
      <c r="D17" s="52">
        <v>2023004.5039523814</v>
      </c>
      <c r="E17" s="52">
        <v>2246114.8739374233</v>
      </c>
      <c r="F17" s="52">
        <v>2290318.0643174602</v>
      </c>
      <c r="G17" s="52">
        <v>1342942.0218253967</v>
      </c>
      <c r="H17" s="54">
        <v>741643</v>
      </c>
      <c r="I17" s="85">
        <v>1027994</v>
      </c>
      <c r="J17" s="52">
        <v>1211810.084</v>
      </c>
      <c r="K17" s="53">
        <v>1257542.3009327452</v>
      </c>
      <c r="L17" s="53">
        <v>1268403.527430044</v>
      </c>
      <c r="M17" s="52">
        <v>1608460.0333333332</v>
      </c>
      <c r="N17" s="62">
        <v>1686366</v>
      </c>
      <c r="O17" s="86"/>
      <c r="P17" s="86"/>
    </row>
    <row r="18" spans="1:16" ht="22.5" customHeight="1">
      <c r="A18" s="73">
        <v>19</v>
      </c>
      <c r="B18" s="55" t="s">
        <v>11</v>
      </c>
      <c r="C18" s="52">
        <v>817538.29909090931</v>
      </c>
      <c r="D18" s="52">
        <v>803482.8110952382</v>
      </c>
      <c r="E18" s="52">
        <v>804030.76360412652</v>
      </c>
      <c r="F18" s="52">
        <v>1246992.739361702</v>
      </c>
      <c r="G18" s="52">
        <v>2531298.4833333334</v>
      </c>
      <c r="H18" s="54">
        <v>1904041</v>
      </c>
      <c r="I18" s="85">
        <v>88159.353000000032</v>
      </c>
      <c r="J18" s="52">
        <v>90662.433519480561</v>
      </c>
      <c r="K18" s="53">
        <v>91204.151631186687</v>
      </c>
      <c r="L18" s="53">
        <v>95031.2</v>
      </c>
      <c r="M18" s="52">
        <v>114812.40000000001</v>
      </c>
      <c r="N18" s="62">
        <v>96688</v>
      </c>
      <c r="O18" s="86"/>
      <c r="P18" s="86"/>
    </row>
    <row r="19" spans="1:16" ht="22.5" customHeight="1">
      <c r="A19" s="73">
        <v>20</v>
      </c>
      <c r="B19" s="55" t="s">
        <v>12</v>
      </c>
      <c r="C19" s="52">
        <v>101718.24616666666</v>
      </c>
      <c r="D19" s="52">
        <v>101453.83315023701</v>
      </c>
      <c r="E19" s="52">
        <v>124272.34176815276</v>
      </c>
      <c r="F19" s="52">
        <v>112173.44331190089</v>
      </c>
      <c r="G19" s="52">
        <v>660234.97428571421</v>
      </c>
      <c r="H19" s="54">
        <v>938871</v>
      </c>
      <c r="I19" s="85">
        <v>52312.049999999996</v>
      </c>
      <c r="J19" s="52">
        <v>55027.148251748251</v>
      </c>
      <c r="K19" s="53">
        <v>60711.216310751108</v>
      </c>
      <c r="L19" s="53">
        <v>69688.983333333337</v>
      </c>
      <c r="M19" s="52">
        <v>63526.474285714277</v>
      </c>
      <c r="N19" s="62">
        <v>85437</v>
      </c>
      <c r="O19" s="86"/>
      <c r="P19" s="86"/>
    </row>
    <row r="20" spans="1:16" ht="22.5" customHeight="1">
      <c r="A20" s="73">
        <v>11</v>
      </c>
      <c r="B20" s="55" t="s">
        <v>30</v>
      </c>
      <c r="C20" s="52">
        <v>20670.599999999999</v>
      </c>
      <c r="D20" s="52">
        <v>25138.508081950735</v>
      </c>
      <c r="E20" s="52">
        <v>33635.345238095237</v>
      </c>
      <c r="F20" s="52">
        <v>39944.337662337661</v>
      </c>
      <c r="G20" s="52">
        <v>200299.88757908758</v>
      </c>
      <c r="H20" s="54">
        <v>63388</v>
      </c>
      <c r="I20" s="85">
        <v>14931</v>
      </c>
      <c r="J20" s="52">
        <v>15025.636752136754</v>
      </c>
      <c r="K20" s="53">
        <v>22776.193053510062</v>
      </c>
      <c r="L20" s="53">
        <v>15129</v>
      </c>
      <c r="M20" s="52">
        <v>14480.3</v>
      </c>
      <c r="N20" s="62">
        <v>14455</v>
      </c>
      <c r="O20" s="86"/>
      <c r="P20" s="86"/>
    </row>
    <row r="21" spans="1:16" ht="22.5" customHeight="1">
      <c r="A21" s="73">
        <v>7</v>
      </c>
      <c r="B21" s="55" t="s">
        <v>13</v>
      </c>
      <c r="C21" s="52">
        <v>612727.66266666376</v>
      </c>
      <c r="D21" s="52">
        <v>684714.28033133608</v>
      </c>
      <c r="E21" s="52">
        <v>692342.68548772205</v>
      </c>
      <c r="F21" s="52">
        <v>580501.03061326488</v>
      </c>
      <c r="G21" s="52">
        <v>249747.47909286205</v>
      </c>
      <c r="H21" s="54">
        <v>271490</v>
      </c>
      <c r="I21" s="85">
        <v>1033823.4249999999</v>
      </c>
      <c r="J21" s="52">
        <v>1012411.4275391274</v>
      </c>
      <c r="K21" s="53">
        <v>1174264.5373770173</v>
      </c>
      <c r="L21" s="53">
        <v>1014934</v>
      </c>
      <c r="M21" s="52">
        <v>1134107.8824561404</v>
      </c>
      <c r="N21" s="62">
        <v>1047715</v>
      </c>
      <c r="O21" s="86"/>
      <c r="P21" s="86"/>
    </row>
    <row r="22" spans="1:16" ht="22.5" customHeight="1">
      <c r="A22" s="73">
        <v>26</v>
      </c>
      <c r="B22" s="55" t="s">
        <v>14</v>
      </c>
      <c r="C22" s="52">
        <v>320093.79819230776</v>
      </c>
      <c r="D22" s="52">
        <v>314532.48278138507</v>
      </c>
      <c r="E22" s="52">
        <v>402456.73767548974</v>
      </c>
      <c r="F22" s="52">
        <v>241403.1495695581</v>
      </c>
      <c r="G22" s="52">
        <v>293868.08253968268</v>
      </c>
      <c r="H22" s="54">
        <v>141235</v>
      </c>
      <c r="I22" s="85">
        <v>315993.37999999995</v>
      </c>
      <c r="J22" s="52">
        <v>356501.20952380955</v>
      </c>
      <c r="K22" s="53">
        <v>480655.93250367552</v>
      </c>
      <c r="L22" s="53">
        <v>398709.19230769231</v>
      </c>
      <c r="M22" s="52">
        <v>263544.22222222225</v>
      </c>
      <c r="N22" s="62">
        <v>200223</v>
      </c>
      <c r="O22" s="86"/>
      <c r="P22" s="86"/>
    </row>
    <row r="23" spans="1:16" ht="22.5" customHeight="1">
      <c r="A23" s="73">
        <v>25</v>
      </c>
      <c r="B23" s="55" t="s">
        <v>15</v>
      </c>
      <c r="C23" s="52">
        <v>144064.44999999998</v>
      </c>
      <c r="D23" s="52">
        <v>125309.8253968254</v>
      </c>
      <c r="E23" s="52">
        <v>123882.00269503545</v>
      </c>
      <c r="F23" s="52">
        <v>98657.150456848118</v>
      </c>
      <c r="G23" s="52">
        <v>91410.633333333331</v>
      </c>
      <c r="H23" s="54">
        <v>102139</v>
      </c>
      <c r="I23" s="85">
        <v>42007.7</v>
      </c>
      <c r="J23" s="52">
        <v>45672.911111111112</v>
      </c>
      <c r="K23" s="53">
        <v>53025.408738340695</v>
      </c>
      <c r="L23" s="53">
        <v>49885.333333333336</v>
      </c>
      <c r="M23" s="52">
        <v>44449.5</v>
      </c>
      <c r="N23" s="62">
        <v>62182</v>
      </c>
      <c r="O23" s="86"/>
      <c r="P23" s="86"/>
    </row>
    <row r="24" spans="1:16" ht="22.5" customHeight="1">
      <c r="A24" s="73">
        <v>12</v>
      </c>
      <c r="B24" s="55" t="s">
        <v>16</v>
      </c>
      <c r="C24" s="52">
        <v>69699.036666666681</v>
      </c>
      <c r="D24" s="52">
        <v>72068.85555555555</v>
      </c>
      <c r="E24" s="52">
        <v>93807.863333333342</v>
      </c>
      <c r="F24" s="52">
        <v>93538.678571428565</v>
      </c>
      <c r="G24" s="52">
        <v>662729</v>
      </c>
      <c r="H24" s="54">
        <v>645590</v>
      </c>
      <c r="I24" s="85">
        <v>82598.166666666657</v>
      </c>
      <c r="J24" s="52">
        <v>86102.777777777781</v>
      </c>
      <c r="K24" s="53">
        <v>80692.890623465879</v>
      </c>
      <c r="L24" s="53">
        <v>76281.5</v>
      </c>
      <c r="M24" s="52">
        <v>79674</v>
      </c>
      <c r="N24" s="62">
        <v>64651</v>
      </c>
      <c r="O24" s="86"/>
      <c r="P24" s="86"/>
    </row>
    <row r="25" spans="1:16" ht="22.5" customHeight="1">
      <c r="A25" s="73">
        <v>8</v>
      </c>
      <c r="B25" s="55" t="s">
        <v>17</v>
      </c>
      <c r="C25" s="52">
        <v>2392387.2804473313</v>
      </c>
      <c r="D25" s="52">
        <v>2392968.5640673656</v>
      </c>
      <c r="E25" s="52">
        <v>2451058.4511904791</v>
      </c>
      <c r="F25" s="52">
        <v>1900056.7561252732</v>
      </c>
      <c r="G25" s="52">
        <v>2219787.1432283432</v>
      </c>
      <c r="H25" s="54">
        <v>3501292</v>
      </c>
      <c r="I25" s="85">
        <v>372175.75714285712</v>
      </c>
      <c r="J25" s="52">
        <v>361304.91883116885</v>
      </c>
      <c r="K25" s="53">
        <v>351553.85282277863</v>
      </c>
      <c r="L25" s="53">
        <v>264548.89646464644</v>
      </c>
      <c r="M25" s="52">
        <v>273701.31818181818</v>
      </c>
      <c r="N25" s="62">
        <v>360674</v>
      </c>
      <c r="O25" s="86"/>
      <c r="P25" s="86"/>
    </row>
    <row r="26" spans="1:16" ht="22.5" customHeight="1">
      <c r="A26" s="73">
        <v>5</v>
      </c>
      <c r="B26" s="55" t="s">
        <v>18</v>
      </c>
      <c r="C26" s="52">
        <v>73802.508333333302</v>
      </c>
      <c r="D26" s="52">
        <v>70838.668333333306</v>
      </c>
      <c r="E26" s="52">
        <v>79209.649078014161</v>
      </c>
      <c r="F26" s="52">
        <v>73647.449078014179</v>
      </c>
      <c r="G26" s="52">
        <v>72486.066666666666</v>
      </c>
      <c r="H26" s="54">
        <v>103746</v>
      </c>
      <c r="I26" s="85">
        <v>50991.15</v>
      </c>
      <c r="J26" s="52">
        <v>57290.21666666666</v>
      </c>
      <c r="K26" s="53">
        <v>60235.855203730971</v>
      </c>
      <c r="L26" s="53">
        <v>62246.333333333336</v>
      </c>
      <c r="M26" s="52">
        <v>67541.666666666657</v>
      </c>
      <c r="N26" s="62">
        <v>77066</v>
      </c>
      <c r="O26" s="86"/>
      <c r="P26" s="86"/>
    </row>
    <row r="27" spans="1:16" ht="22.5" customHeight="1">
      <c r="A27" s="73">
        <v>17</v>
      </c>
      <c r="B27" s="55" t="s">
        <v>65</v>
      </c>
      <c r="C27" s="52">
        <v>8306.9</v>
      </c>
      <c r="D27" s="52">
        <v>7510.1</v>
      </c>
      <c r="E27" s="52">
        <v>7658.8</v>
      </c>
      <c r="F27" s="52">
        <v>6159.5</v>
      </c>
      <c r="G27" s="52">
        <v>6584.333333333333</v>
      </c>
      <c r="H27" s="54">
        <v>5156</v>
      </c>
      <c r="I27" s="85">
        <v>18866.999999999993</v>
      </c>
      <c r="J27" s="52">
        <v>22454.500000000004</v>
      </c>
      <c r="K27" s="53">
        <v>22907.428816887579</v>
      </c>
      <c r="L27" s="53">
        <v>20218.666666666664</v>
      </c>
      <c r="M27" s="52">
        <v>26375</v>
      </c>
      <c r="N27" s="62">
        <v>24868</v>
      </c>
      <c r="O27" s="86"/>
      <c r="P27" s="86"/>
    </row>
    <row r="28" spans="1:16" ht="22.5" customHeight="1">
      <c r="A28" s="73">
        <v>27</v>
      </c>
      <c r="B28" s="55" t="s">
        <v>19</v>
      </c>
      <c r="C28" s="52">
        <v>456283.51500000007</v>
      </c>
      <c r="D28" s="52">
        <v>541253.60426406912</v>
      </c>
      <c r="E28" s="52">
        <v>544698.07328047836</v>
      </c>
      <c r="F28" s="52">
        <v>416026.10871327249</v>
      </c>
      <c r="G28" s="52">
        <v>370747.64761904767</v>
      </c>
      <c r="H28" s="54">
        <v>446321</v>
      </c>
      <c r="I28" s="85">
        <v>91628.65</v>
      </c>
      <c r="J28" s="52">
        <v>92481.922727272715</v>
      </c>
      <c r="K28" s="53">
        <v>92216.395168920411</v>
      </c>
      <c r="L28" s="53">
        <v>98393.164285714287</v>
      </c>
      <c r="M28" s="52">
        <v>77683.452380952382</v>
      </c>
      <c r="N28" s="62">
        <v>78836</v>
      </c>
      <c r="O28" s="86"/>
      <c r="P28" s="86"/>
    </row>
    <row r="29" spans="1:16" ht="22.5" customHeight="1">
      <c r="A29" s="73">
        <v>1</v>
      </c>
      <c r="B29" s="55" t="s">
        <v>20</v>
      </c>
      <c r="C29" s="52">
        <v>114621.48966666666</v>
      </c>
      <c r="D29" s="52">
        <v>127263.36373015873</v>
      </c>
      <c r="E29" s="52">
        <v>136566.04929550824</v>
      </c>
      <c r="F29" s="52">
        <v>113106.48291922262</v>
      </c>
      <c r="G29" s="52">
        <v>143003.37085137086</v>
      </c>
      <c r="H29" s="54">
        <v>134209</v>
      </c>
      <c r="I29" s="85">
        <v>232366.8</v>
      </c>
      <c r="J29" s="52">
        <v>233856.92499999999</v>
      </c>
      <c r="K29" s="53">
        <v>216406.38402061854</v>
      </c>
      <c r="L29" s="53">
        <v>238618.13333333333</v>
      </c>
      <c r="M29" s="52">
        <v>260849.13636363635</v>
      </c>
      <c r="N29" s="62">
        <v>200949</v>
      </c>
      <c r="O29" s="86"/>
      <c r="P29" s="86"/>
    </row>
    <row r="30" spans="1:16" ht="22.5" customHeight="1">
      <c r="A30" s="73">
        <v>15</v>
      </c>
      <c r="B30" s="55" t="s">
        <v>21</v>
      </c>
      <c r="C30" s="52">
        <v>262899.375</v>
      </c>
      <c r="D30" s="52">
        <v>291578.16927750036</v>
      </c>
      <c r="E30" s="52">
        <v>271548.10360667185</v>
      </c>
      <c r="F30" s="52">
        <v>273300.0388888889</v>
      </c>
      <c r="G30" s="52">
        <v>117327.00000000001</v>
      </c>
      <c r="H30" s="54">
        <v>112418</v>
      </c>
      <c r="I30" s="85">
        <v>101573.25</v>
      </c>
      <c r="J30" s="52">
        <v>126079.12307692308</v>
      </c>
      <c r="K30" s="53">
        <v>141102.91944035346</v>
      </c>
      <c r="L30" s="53">
        <v>153876.88888888888</v>
      </c>
      <c r="M30" s="52">
        <v>109309</v>
      </c>
      <c r="N30" s="62">
        <v>45597</v>
      </c>
      <c r="O30" s="86"/>
      <c r="P30" s="86"/>
    </row>
    <row r="31" spans="1:16" ht="22.5" customHeight="1">
      <c r="A31" s="73">
        <v>2</v>
      </c>
      <c r="B31" s="55" t="s">
        <v>22</v>
      </c>
      <c r="C31" s="52">
        <v>193131.3808333333</v>
      </c>
      <c r="D31" s="52">
        <v>235382.70822402608</v>
      </c>
      <c r="E31" s="52">
        <v>240611.90600192241</v>
      </c>
      <c r="F31" s="52">
        <v>275506.50133649207</v>
      </c>
      <c r="G31" s="52">
        <v>388419.30456234614</v>
      </c>
      <c r="H31" s="54">
        <v>369004</v>
      </c>
      <c r="I31" s="85">
        <v>164183.08466666663</v>
      </c>
      <c r="J31" s="52">
        <v>165214.53279653678</v>
      </c>
      <c r="K31" s="53">
        <v>166772.01644409218</v>
      </c>
      <c r="L31" s="53">
        <v>184285.88697478993</v>
      </c>
      <c r="M31" s="52">
        <v>249800.18186911131</v>
      </c>
      <c r="N31" s="62">
        <v>206696</v>
      </c>
      <c r="O31" s="86"/>
      <c r="P31" s="86"/>
    </row>
    <row r="32" spans="1:16" ht="22.5" customHeight="1">
      <c r="A32" s="73">
        <v>0</v>
      </c>
      <c r="B32" s="55" t="s">
        <v>32</v>
      </c>
      <c r="C32" s="52">
        <v>345733.45266666665</v>
      </c>
      <c r="D32" s="52">
        <v>353421.56988490099</v>
      </c>
      <c r="E32" s="52">
        <v>399726.37672612834</v>
      </c>
      <c r="F32" s="52">
        <v>472532.67973873863</v>
      </c>
      <c r="G32" s="52">
        <v>461393.22297329747</v>
      </c>
      <c r="H32" s="54">
        <v>398943</v>
      </c>
      <c r="I32" s="85">
        <v>517279.62600000005</v>
      </c>
      <c r="J32" s="52">
        <v>525581.11071282555</v>
      </c>
      <c r="K32" s="53">
        <v>526505.73973758216</v>
      </c>
      <c r="L32" s="53">
        <v>464143.30243004416</v>
      </c>
      <c r="M32" s="52">
        <v>100642.87786131997</v>
      </c>
      <c r="N32" s="62">
        <v>90001</v>
      </c>
      <c r="O32" s="86"/>
      <c r="P32" s="86"/>
    </row>
    <row r="33" spans="1:16" ht="22.5" customHeight="1">
      <c r="A33" s="73">
        <v>22</v>
      </c>
      <c r="B33" s="55" t="s">
        <v>23</v>
      </c>
      <c r="C33" s="52">
        <v>131165.89000000001</v>
      </c>
      <c r="D33" s="52">
        <v>133949.71285714285</v>
      </c>
      <c r="E33" s="52">
        <v>157892.62443956043</v>
      </c>
      <c r="F33" s="52">
        <v>203981.92142857146</v>
      </c>
      <c r="G33" s="52">
        <v>162522</v>
      </c>
      <c r="H33" s="54">
        <v>205060</v>
      </c>
      <c r="I33" s="85">
        <v>39359.5</v>
      </c>
      <c r="J33" s="52">
        <v>43117.928571428565</v>
      </c>
      <c r="K33" s="53">
        <v>43236.089158264418</v>
      </c>
      <c r="L33" s="53">
        <v>59629.571428571428</v>
      </c>
      <c r="M33" s="52">
        <v>38734.479166666664</v>
      </c>
      <c r="N33" s="62">
        <v>7723</v>
      </c>
      <c r="O33" s="86"/>
      <c r="P33" s="86"/>
    </row>
    <row r="34" spans="1:16" ht="22.5" customHeight="1">
      <c r="A34" s="73">
        <v>13</v>
      </c>
      <c r="B34" s="55" t="s">
        <v>24</v>
      </c>
      <c r="C34" s="52">
        <v>131407.435</v>
      </c>
      <c r="D34" s="52">
        <v>134781.2841094771</v>
      </c>
      <c r="E34" s="52">
        <v>135069.16526849038</v>
      </c>
      <c r="F34" s="52">
        <v>231706.16453900709</v>
      </c>
      <c r="G34" s="52">
        <v>162042.55833333335</v>
      </c>
      <c r="H34" s="54">
        <v>223738</v>
      </c>
      <c r="I34" s="85">
        <v>95968.916666666657</v>
      </c>
      <c r="J34" s="52">
        <v>132541.18253968254</v>
      </c>
      <c r="K34" s="53">
        <v>133033.06001472755</v>
      </c>
      <c r="L34" s="53">
        <v>114614.76215022091</v>
      </c>
      <c r="M34" s="52">
        <v>119826.33333333333</v>
      </c>
      <c r="N34" s="62">
        <v>114847</v>
      </c>
      <c r="O34" s="86"/>
      <c r="P34" s="86"/>
    </row>
    <row r="35" spans="1:16" ht="22.5" customHeight="1" thickBot="1">
      <c r="A35" s="74">
        <v>21</v>
      </c>
      <c r="B35" s="57" t="s">
        <v>25</v>
      </c>
      <c r="C35" s="58">
        <v>178332.6039047619</v>
      </c>
      <c r="D35" s="58">
        <v>188689.55252674382</v>
      </c>
      <c r="E35" s="58">
        <v>241057.99080569507</v>
      </c>
      <c r="F35" s="58">
        <v>224243.37483113812</v>
      </c>
      <c r="G35" s="58">
        <v>1464937.8046911422</v>
      </c>
      <c r="H35" s="60">
        <v>1527146</v>
      </c>
      <c r="I35" s="87">
        <v>184177.5</v>
      </c>
      <c r="J35" s="58">
        <v>160633.26666666669</v>
      </c>
      <c r="K35" s="59">
        <v>202575.14476720893</v>
      </c>
      <c r="L35" s="59">
        <v>165371.66666666669</v>
      </c>
      <c r="M35" s="58">
        <v>266571.10427807481</v>
      </c>
      <c r="N35" s="60">
        <v>270959</v>
      </c>
      <c r="O35" s="86"/>
      <c r="P35" s="86"/>
    </row>
  </sheetData>
  <mergeCells count="5">
    <mergeCell ref="A1:M1"/>
    <mergeCell ref="A2:A3"/>
    <mergeCell ref="B2:B3"/>
    <mergeCell ref="C2:H2"/>
    <mergeCell ref="I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فهرست</vt:lpstr>
      <vt:lpstr>مشخصات کلی طرح</vt:lpstr>
      <vt:lpstr>تعاریف</vt:lpstr>
      <vt:lpstr>تعداد کارگاه آیسیک</vt:lpstr>
      <vt:lpstr>تعداد کارگاه استان</vt:lpstr>
      <vt:lpstr>آب مصرفی آیسیک</vt:lpstr>
      <vt:lpstr>آب مصرفی استان</vt:lpstr>
      <vt:lpstr>آب خریداری آیسیک</vt:lpstr>
      <vt:lpstr>آب خریداری استان</vt:lpstr>
      <vt:lpstr>فاضلاب آیسیک</vt:lpstr>
      <vt:lpstr>فاضلاب استان</vt:lpstr>
      <vt:lpstr>پسماند آیسیک</vt:lpstr>
      <vt:lpstr>پسماند استان </vt:lpstr>
      <vt:lpstr>ab_kharidari_isic96</vt:lpstr>
      <vt:lpstr>ab_kharidari_o96</vt:lpstr>
      <vt:lpstr>ab_mas_is4_96</vt:lpstr>
      <vt:lpstr>ab_os96</vt:lpstr>
      <vt:lpstr>tedad_isic96</vt:lpstr>
      <vt:lpstr>tedad_ostan96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razavi</dc:creator>
  <cp:lastModifiedBy>Ali Razavi</cp:lastModifiedBy>
  <dcterms:created xsi:type="dcterms:W3CDTF">2022-07-17T05:57:52Z</dcterms:created>
  <dcterms:modified xsi:type="dcterms:W3CDTF">2026-03-31T18:30:17Z</dcterms:modified>
</cp:coreProperties>
</file>