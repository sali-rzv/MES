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wi\Desktop\"/>
    </mc:Choice>
  </mc:AlternateContent>
  <xr:revisionPtr revIDLastSave="0" documentId="8_{E5B57449-8167-4141-BD26-A7EBA84BE22F}" xr6:coauthVersionLast="47" xr6:coauthVersionMax="47" xr10:uidLastSave="{00000000-0000-0000-0000-000000000000}"/>
  <bookViews>
    <workbookView xWindow="-120" yWindow="-120" windowWidth="20730" windowHeight="11160" tabRatio="862" xr2:uid="{92DEBD52-A689-4728-AA9E-199C4D4F4FFC}"/>
  </bookViews>
  <sheets>
    <sheet name="فهرست" sheetId="13" r:id="rId1"/>
    <sheet name="مشخصات کلی طرح" sheetId="15" r:id="rId2"/>
    <sheet name="تعاریف" sheetId="14" r:id="rId3"/>
    <sheet name="تعداد کارگاه آیسیک" sheetId="10" r:id="rId4"/>
    <sheet name="تعداد کارگاه استان" sheetId="9" r:id="rId5"/>
    <sheet name="آب مصرفی آیسیک" sheetId="1" r:id="rId6"/>
    <sheet name="آب مصرفی استان" sheetId="2" r:id="rId7"/>
    <sheet name="آب خریداری آیسیک" sheetId="3" r:id="rId8"/>
    <sheet name="آب خریداری استان" sheetId="4" r:id="rId9"/>
  </sheets>
  <externalReferences>
    <externalReference r:id="rId10"/>
  </externalReferences>
  <definedNames>
    <definedName name="_xlnm._FilterDatabase" localSheetId="3" hidden="1">'تعداد کارگاه آیسیک'!$A$6:$O$6</definedName>
    <definedName name="ab_kharidari_isic95">#REF!</definedName>
    <definedName name="ab_kharidari_isic96">'آب خریداری آیسیک'!$G$4:$H$29</definedName>
    <definedName name="ab_kharidari_o95">#REF!</definedName>
    <definedName name="ab_kharidari_o96">'آب خریداری استان'!$G$4:$I$36</definedName>
    <definedName name="ab_mas_is4_96">'آب مصرفی آیسیک'!$E$4:$G$29</definedName>
    <definedName name="ab_mas_isic4_95">#REF!</definedName>
    <definedName name="ab_mas_o95">#REF!</definedName>
    <definedName name="ab_os96">'آب مصرفی استان'!$G$4:$I$36</definedName>
    <definedName name="pas_o96">#REF!</definedName>
    <definedName name="pasmand_is96">#REF!</definedName>
    <definedName name="pasmand_isic95">#REF!</definedName>
    <definedName name="pasmand_isic96">#REF!</definedName>
    <definedName name="pasmand_o95">#REF!</definedName>
    <definedName name="pasmand_o96">#REF!</definedName>
    <definedName name="sewage_isic95">#REF!</definedName>
    <definedName name="sewage_isic96">#REF!</definedName>
    <definedName name="sewage_o95">#REF!</definedName>
    <definedName name="sewage_o96">#REF!</definedName>
    <definedName name="tedad_isic96">'تعداد کارگاه آیسیک'!$O$1:$P$32</definedName>
    <definedName name="tedad_ostan96">'تعداد کارگاه استان'!#REF!</definedName>
  </definedNames>
  <calcPr calcId="191029"/>
  <extLst>
    <ext xmlns:xcalcf="http://schemas.microsoft.com/office/spreadsheetml/2018/calcfeatures" uri="{B58B0392-4F1F-4190-BB64-5DF3571DCE5F}">
      <xcalcf:calcFeatures>
        <xcalcf:feature name="microsoft.com:Single"/>
        <xcalcf:feature name="microsoft.com:CNMTM"/>
      </xcalcf:calcFeatures>
    </ext>
  </extLst>
</workbook>
</file>

<file path=xl/calcChain.xml><?xml version="1.0" encoding="utf-8"?>
<calcChain xmlns="http://schemas.openxmlformats.org/spreadsheetml/2006/main">
  <c r="D5" i="4" l="1"/>
  <c r="E5" i="4"/>
  <c r="F5" i="4"/>
  <c r="G5" i="4"/>
  <c r="H5" i="4"/>
  <c r="I5" i="4"/>
  <c r="J5" i="4"/>
  <c r="K5" i="4"/>
  <c r="L5" i="4"/>
  <c r="M5" i="4"/>
  <c r="C5" i="4"/>
  <c r="D5" i="3"/>
  <c r="E5" i="3"/>
  <c r="F5" i="3"/>
  <c r="G5" i="3"/>
  <c r="H5" i="3"/>
  <c r="I5" i="3"/>
  <c r="J5" i="3"/>
  <c r="K5" i="3"/>
  <c r="L5" i="3"/>
  <c r="M5" i="3"/>
  <c r="C5" i="3"/>
  <c r="D5" i="2"/>
  <c r="E5" i="2"/>
  <c r="F5" i="2"/>
  <c r="G5" i="2"/>
  <c r="H5" i="2"/>
  <c r="I5" i="2"/>
  <c r="J5" i="2"/>
  <c r="K5" i="2"/>
  <c r="L5" i="2"/>
  <c r="M5" i="2"/>
  <c r="C5" i="2"/>
  <c r="D5" i="1"/>
  <c r="E5" i="1"/>
  <c r="F5" i="1"/>
  <c r="G5" i="1"/>
  <c r="H5" i="1"/>
  <c r="I5" i="1"/>
  <c r="J5" i="1"/>
  <c r="K5" i="1"/>
  <c r="L5" i="1"/>
  <c r="M5" i="1"/>
  <c r="C5" i="1"/>
  <c r="C5" i="9"/>
  <c r="D5" i="9"/>
  <c r="G5" i="9"/>
  <c r="B5" i="9"/>
  <c r="G5" i="10"/>
  <c r="F5" i="10"/>
  <c r="D5" i="10"/>
  <c r="C5" i="10"/>
</calcChain>
</file>

<file path=xl/sharedStrings.xml><?xml version="1.0" encoding="utf-8"?>
<sst xmlns="http://schemas.openxmlformats.org/spreadsheetml/2006/main" count="247" uniqueCount="118">
  <si>
    <t>آذربايجان شرقي</t>
  </si>
  <si>
    <t>آذربايجان غربي</t>
  </si>
  <si>
    <t>اردبيل</t>
  </si>
  <si>
    <t>اصفهان</t>
  </si>
  <si>
    <t>البرز</t>
  </si>
  <si>
    <t>ايلام</t>
  </si>
  <si>
    <t>بوشهر</t>
  </si>
  <si>
    <t>تهران</t>
  </si>
  <si>
    <t>خراسان جنوبي</t>
  </si>
  <si>
    <t>خراسان شمالي</t>
  </si>
  <si>
    <t>خوزستان</t>
  </si>
  <si>
    <t>زنجان</t>
  </si>
  <si>
    <t>سمنان</t>
  </si>
  <si>
    <t>فارس</t>
  </si>
  <si>
    <t>قزوين</t>
  </si>
  <si>
    <t>قم</t>
  </si>
  <si>
    <t>كردستان</t>
  </si>
  <si>
    <t>كرمان</t>
  </si>
  <si>
    <t>كرمانشاه</t>
  </si>
  <si>
    <t>گلستان</t>
  </si>
  <si>
    <t>گيلان</t>
  </si>
  <si>
    <t>لرستان</t>
  </si>
  <si>
    <t>مازندران</t>
  </si>
  <si>
    <t>هرمزگان</t>
  </si>
  <si>
    <t>همدان</t>
  </si>
  <si>
    <t>يزد</t>
  </si>
  <si>
    <t>تعداد کارگاه</t>
  </si>
  <si>
    <t>استان</t>
  </si>
  <si>
    <t>کل کشور</t>
  </si>
  <si>
    <t>خراسان رضوي</t>
  </si>
  <si>
    <t>سيستان و بلوچستان</t>
  </si>
  <si>
    <t>كهگيلويه و بويراحمد</t>
  </si>
  <si>
    <t>مركزي</t>
  </si>
  <si>
    <t>فهرست مندرجات</t>
  </si>
  <si>
    <t>کد آیسیک REV4</t>
  </si>
  <si>
    <t>فعالیت</t>
  </si>
  <si>
    <t>کل صنعت</t>
  </si>
  <si>
    <t>توليد فراورده‌هاي غذايي</t>
  </si>
  <si>
    <t>توليد انواع آشاميدني‌ها</t>
  </si>
  <si>
    <t>توليد فراورده‌هاي توتون و تنباكو</t>
  </si>
  <si>
    <t>توليد منسوجات</t>
  </si>
  <si>
    <t>توليد پوشاك</t>
  </si>
  <si>
    <t>چاپ و تکثير رسانه‌هاي ضبط شده</t>
  </si>
  <si>
    <t>توليد فلزات پايه</t>
  </si>
  <si>
    <t>توليد تجهيزات برقي</t>
  </si>
  <si>
    <t>توليد ساير تجهيزات حمل و نقل</t>
  </si>
  <si>
    <t>توليد مبلمان</t>
  </si>
  <si>
    <t>مقدار آب مصرفی</t>
  </si>
  <si>
    <t>کد استان</t>
  </si>
  <si>
    <t>آب خریداری شده</t>
  </si>
  <si>
    <t>توليد چرم و فراورده‌هاي وابسته</t>
  </si>
  <si>
    <t>توليد کاغذ و فراورده‌هاي کاغذي</t>
  </si>
  <si>
    <t>توليد کک و فراورده‌هاي حاصل از پالايش نفت</t>
  </si>
  <si>
    <t>توليد محصولات فلزي ساخته شده، بجز ماشين آلات و تجهيزات</t>
  </si>
  <si>
    <t>ساخت محصولات رايانه‌اي، الکترونيکي و نوري</t>
  </si>
  <si>
    <t>توليد ماشين‌آلات و تجهيزات طبقه‌بندي نشده در جاي ديگر</t>
  </si>
  <si>
    <t>توليد وسايل نقليه موتوري، تريلر و نيم تريلر</t>
  </si>
  <si>
    <t>توليد ساير مصنوعات طبقه‌بندي نشده در جاي ديگر</t>
  </si>
  <si>
    <t>تعمير و نصب ماشين‌آلات و تجهيزات</t>
  </si>
  <si>
    <t>توليد چوب و فراورده‌هاي چوب و چوب پنبه- بجز مبلمان- ساخت کالا از حصير و مواد حصير بافي</t>
  </si>
  <si>
    <t>توليد مواد شيميايي و فراورده‌هاي شيميايي</t>
  </si>
  <si>
    <t>توليد داروها و فراورده‌هاي دارويي شيميايي و گياهي</t>
  </si>
  <si>
    <t>توليد فراورده‌هاي لاستيکي و پلاستيکي</t>
  </si>
  <si>
    <t>توليد ساير فراورده‌هاي معدني غير فلزي</t>
  </si>
  <si>
    <t>چهارمحال و بختياري</t>
  </si>
  <si>
    <t>كهگيلويه و بوير احمد</t>
  </si>
  <si>
    <t xml:space="preserve">کل صنعت </t>
  </si>
  <si>
    <t xml:space="preserve">کل کشور </t>
  </si>
  <si>
    <t>مشخصات كلی طرح</t>
  </si>
  <si>
    <t>هدف كلی طرح</t>
  </si>
  <si>
    <t>جامعه‌ی هدف</t>
  </si>
  <si>
    <t>واحد آماری</t>
  </si>
  <si>
    <t>زمان آماری</t>
  </si>
  <si>
    <t>واحد آماري در اين طرح، يك كارگاه صنعتي مستقل و متبوع  10 نفر كاركن و بيش تر است.</t>
  </si>
  <si>
    <t>زمان آمارگيري</t>
  </si>
  <si>
    <t>روش آمارگيري</t>
  </si>
  <si>
    <t xml:space="preserve">در اين طرح ، كارگاه‌هاي صنعتي 50 نفر كاركن و بيش تر و کارگاه‌هایی که اطلاعات مالی آنها در سازمان بورس و سازمان حسابرسی قابل دسترسی می باشد به صورت سرشماری و در مورد كارگاه‌هاي صنعتي 49-10 نفر كاركن به صورت نمونه گیری و بر حسب مورد آمارگیری می‌شود. </t>
  </si>
  <si>
    <t>كارگاه صنعتي</t>
  </si>
  <si>
    <t>كارگاه صنعتي مكان ثابتي است كه در آن مجموعه‌اي از سرمايه و نيروي كار به منظور توليد يك يا چند محصول صنعتي به كار گرفته شده است.</t>
  </si>
  <si>
    <t>كارگاه صنعتي 10 نفر کارکن و بيش‌تر</t>
  </si>
  <si>
    <t xml:space="preserve">آب مصرف شده </t>
  </si>
  <si>
    <t>روش نمونه‌گیری</t>
  </si>
  <si>
    <t xml:space="preserve">روش جمع آوري داده ها  </t>
  </si>
  <si>
    <t>طبقه‌بندی استاندارد آماری</t>
  </si>
  <si>
    <t>در تدوين و انتشار اين نشريه از طبقه‌بندي بين‌المللي فعاليت‌هاي اقتصادي (I.S.I.C) ويرايش چهارم استفاده شده است‌.</t>
  </si>
  <si>
    <t>تواتر تولید</t>
  </si>
  <si>
    <t>تواتر تولید آمار در این طرح به صورت سالانه است.</t>
  </si>
  <si>
    <t>در اين آمارگيري، اطلاعات به صورت مصاحبه‌ي مستقيم با مسئول يا مدير كارگاه صنعتي(واحد آماري) یا به صورت پستی، ایمیل و فکس گردآوري و در پرسشنامه مورد نظر درج مي‌شود.</t>
  </si>
  <si>
    <t xml:space="preserve">چارچوب نمونه گیری </t>
  </si>
  <si>
    <t xml:space="preserve">کارگاههای صنعتی ده نفر کارکن و بیشتر به دو زیرجامعه تقسیم می‌شوند:
الف) کارگاههای صنعتی 50 کارکن و بیشتر که در زیرجامعه‌ی سرشماری قرار دارند و برای همه‌ی آن‌ها پرسشنامه تکمیل می‌‌شود.
ب) کارگاههای صنعتی 10 تا 49 کارکن که در زیرجامعه‌ی نمونه‌گیری قرار داده شده‌اند. روش نمونه‌گیری در این زیرجامعه احتمالی تصادفی طبقه بندی است. طبقات براساس تعداد کارکنان در سطح استان- رشته فعالیت مشخص شده اند. </t>
  </si>
  <si>
    <t>کارگاه صنعتی فعال</t>
  </si>
  <si>
    <t>کارگاهی فعال محسوب می‌شود که حداقل 30 روز کاری را در سال به طور پیوسته یا منقطع به فعالیت تولیدی اشتغال داشته باشد.</t>
  </si>
  <si>
    <t>کارگاه صنعتی غیرفعال</t>
  </si>
  <si>
    <t>کارگاه‌های زیر کارگاه صنعتی غیرفعال محسوب می‌شوند:</t>
  </si>
  <si>
    <t>1-     کارگاه به علت تعمیرات یا به هر دلیل دیگری، در زمان آماری به صورت موقت تعطيل بوده و در سال مورد نظر هیچ‌گونه فعالیت تولیدی نداشته است اما دوباره به فعالیت صنعتی خود ادامه می‌دهد.</t>
  </si>
  <si>
    <t>2-     کارگاه در زمان آماری تعطیل دائم شده است و هیچ‌گونه فعالیت تولیدی در آینده نخواهد داشت.</t>
  </si>
  <si>
    <t>تفاوت در سرجمع‌ها به دلیل براورد و گرد شدن ارقام است .</t>
  </si>
  <si>
    <t xml:space="preserve">هدف کلی طرح تهیه براورد مقدار آب مصرفی كارگاه‌هاي صنعتي به‌تفكيك استان و نوع فعالیت اقتصادی کارگاه‌های آمارگیری شده که با توجه به توصیه‌های سازمان ملل بر اساس کدهای دو رقمی ISIC-Rev4 است، ارائه مي‌دهد. </t>
  </si>
  <si>
    <t>جدول 2- تعداد کارگاه‌های فعال صنعتی 10 نفر کارکن و بیشتر به‌تفکیک استان : 1383 تا 1393</t>
  </si>
  <si>
    <t>جدول 1- تعداد کارگاه‌های فعال صنعتی 10 نفر کارکن و بیشتر به‌تفکیک فعالیت: 1383 تا 1393</t>
  </si>
  <si>
    <t>جدول 3- مقدار آب مصرفی در کارگاه‌های صنعتی 10 نفر کارکن و بیشتر به‌تفکیک فعالیت: 1383 تا 1393     (متر مکعب)</t>
  </si>
  <si>
    <t>جدول 6-  مقدار آب خریداری شده در کارگاه‌های صنعتی 10 نفر کارکن و بیشتر به‌تفکیک استان: 1383 تا 1393     (متر مکعب)</t>
  </si>
  <si>
    <t>جدول 5- مقدار آب خریداری شده در کارگاه‌های صنعتی 10 نفر کارکن و بیشتر به‌تفکیک فعالیت: 1383 تا 1393        (متر مکعب)</t>
  </si>
  <si>
    <t>جدول 4- مقدار آب مصرفی در کارگاه‌های صنعتی 10 نفر کارکن و بیشتر به‌تفکیک استان: 1383 تا 1393      (متر مکعب)</t>
  </si>
  <si>
    <t>جدول 3- مقدار آب مصرفی در کارگاه‌های صنعتی 10 نفر کارکن و بیشتر به‌تفکیک فعالیت: 1383 تا 1393</t>
  </si>
  <si>
    <t>جدول 4- مقدار آب مصرفی در کارگاه‌های صنعتی 10 نفر کارکن و بیشتر به‌تفکیک استان: 1383 تا 1393</t>
  </si>
  <si>
    <t>جدول 5- مقدار آب خریداری شده در کارگاه‌های صنعتی 10 نفر کارکن و بیشتر به‌تفکیک فعالیت: 1383 تا 1393</t>
  </si>
  <si>
    <t>جدول 6-  مقدار آب خریداری شده در کارگاه‌های صنعتی 10 نفر کارکن و بیشتر به‌تفکیک استان: 1383 تا 1393</t>
  </si>
  <si>
    <t>چارچوب مورد استفاده در اين طرح، فهرست كارگاه‌هاي صنعتي مستقل و متبوع 10 نفر کارکن و بيش‌تر است كه با استفاده از نتايج سرشماري عمومي كارگاهي سال 1381 تهيه شده است.</t>
  </si>
  <si>
    <t>نتايج آمارگیري از مقدار آب مصرفی کارگاه‌هاي صنعتی 10 نفر کارکن و بیشتر: 1383 تا 1393</t>
  </si>
  <si>
    <t xml:space="preserve">تعداد نمونه </t>
  </si>
  <si>
    <t xml:space="preserve">آمارگيري از كارگاه‌هاي صنعتي 10 نفر كاركن و بيش تر  از 12 تیر سال 1394 شروع می شود و 10 مهر همان سال تاریخ اتمام اجرای طرح در استان ها می باشد. </t>
  </si>
  <si>
    <t>جامعه ي هدف اين طرح، كليه كارگاه‌هاي صنعتي 10 نفر كاركن و بيش تر كشور در سال 1393 است.</t>
  </si>
  <si>
    <t>زمان آماري در اين طرح سال 1393 است.</t>
  </si>
  <si>
    <t xml:space="preserve"> 34695 کارگاه  </t>
  </si>
  <si>
    <t>كارگاه صنعتی فعالی است كه در سال 1393 متوسط تعداد كاركنان آن، 10 نفر و بيش‌تر بوده است.</t>
  </si>
  <si>
    <t xml:space="preserve">مقدار آب مصرف شده کارگاه بر حسب متر مكعب طی سال 1393 است. </t>
  </si>
  <si>
    <t>مقدار آب خریداری شده کارگاه را بر حسب متر مكعب در طول سال 1393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</si>
</sst>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5" formatCode="_(* #,##0_);_(* \(#,##0\);_(* &quot;-&quot;??_);_(@_)"/>
  </numFmts>
  <fonts count="15">
    <font>
      <sz val="10"/>
      <name val="MS Sans Serif"/>
      <family val="2"/>
      <charset val="178"/>
    </font>
    <font>
      <sz val="10"/>
      <name val="MS Sans Serif"/>
      <family val="2"/>
      <charset val="178"/>
    </font>
    <font>
      <u/>
      <sz val="10"/>
      <color indexed="12"/>
      <name val="MS Sans Serif"/>
      <family val="2"/>
      <charset val="178"/>
    </font>
    <font>
      <sz val="10"/>
      <name val="Tahoma"/>
      <family val="2"/>
    </font>
    <font>
      <b/>
      <sz val="10"/>
      <name val="Tahoma"/>
      <family val="2"/>
    </font>
    <font>
      <b/>
      <shadow/>
      <sz val="10"/>
      <name val="Tahoma"/>
      <family val="2"/>
    </font>
    <font>
      <b/>
      <u/>
      <sz val="10"/>
      <name val="Tahoma"/>
      <family val="2"/>
    </font>
    <font>
      <b/>
      <shadow/>
      <sz val="12"/>
      <name val="Tahoma"/>
      <family val="2"/>
    </font>
    <font>
      <sz val="10"/>
      <color theme="1"/>
      <name val="Tahoma"/>
      <family val="2"/>
    </font>
    <font>
      <b/>
      <sz val="10"/>
      <color rgb="FF000000"/>
      <name val="Tahoma"/>
      <family val="2"/>
    </font>
    <font>
      <sz val="10"/>
      <color rgb="FF000000"/>
      <name val="Tahoma"/>
      <family val="2"/>
    </font>
    <font>
      <sz val="12"/>
      <color theme="1"/>
      <name val="B Mitra"/>
      <charset val="178"/>
    </font>
    <font>
      <b/>
      <sz val="11"/>
      <color rgb="FF000000"/>
      <name val="Tahoma"/>
      <family val="2"/>
    </font>
    <font>
      <b/>
      <sz val="10"/>
      <color theme="1"/>
      <name val="Tahoma"/>
      <family val="2"/>
    </font>
    <font>
      <b/>
      <sz val="10"/>
      <color rgb="FFFF0000"/>
      <name val="Tahoma"/>
      <family val="2"/>
    </font>
  </fonts>
  <fills count="3">
    <fill>
      <patternFill patternType="none"/>
    </fill>
    <fill>
      <patternFill patternType="gray125"/>
    </fill>
    <fill>
      <patternFill patternType="solid">
        <fgColor theme="0" tint="-0.14999847407452621"/>
        <bgColor indexed="64"/>
      </patternFill>
    </fill>
  </fills>
  <borders count="27">
    <border>
      <left/>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bottom style="medium">
        <color indexed="64"/>
      </bottom>
      <diagonal/>
    </border>
    <border>
      <left/>
      <right style="thick">
        <color theme="8"/>
      </right>
      <top/>
      <bottom/>
      <diagonal/>
    </border>
    <border>
      <left/>
      <right/>
      <top style="thick">
        <color theme="8"/>
      </top>
      <bottom/>
      <diagonal/>
    </border>
    <border>
      <left/>
      <right style="thick">
        <color theme="8"/>
      </right>
      <top style="thick">
        <color theme="8"/>
      </top>
      <bottom/>
      <diagonal/>
    </border>
    <border>
      <left style="thick">
        <color theme="8"/>
      </left>
      <right style="thick">
        <color theme="8"/>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8">
    <xf numFmtId="0" fontId="0" fillId="0" borderId="0" xfId="0"/>
    <xf numFmtId="0" fontId="8" fillId="0" borderId="0" xfId="0" applyFont="1" applyAlignment="1">
      <alignment wrapText="1"/>
    </xf>
    <xf numFmtId="0" fontId="9" fillId="0" borderId="0" xfId="0" applyFont="1" applyAlignment="1">
      <alignment horizontal="right" vertical="center" wrapText="1" readingOrder="2"/>
    </xf>
    <xf numFmtId="0" fontId="10" fillId="0" borderId="0" xfId="0" applyFont="1" applyAlignment="1">
      <alignment horizontal="right" vertical="center" wrapText="1" readingOrder="2"/>
    </xf>
    <xf numFmtId="0" fontId="8" fillId="0" borderId="0" xfId="0" applyFont="1"/>
    <xf numFmtId="0" fontId="0" fillId="0" borderId="23" xfId="0" applyFill="1" applyBorder="1"/>
    <xf numFmtId="0" fontId="0" fillId="0" borderId="0" xfId="0" applyFill="1"/>
    <xf numFmtId="0" fontId="11" fillId="0" borderId="24" xfId="0" applyFont="1" applyFill="1" applyBorder="1" applyAlignment="1">
      <alignment horizontal="center" vertical="center" wrapText="1"/>
    </xf>
    <xf numFmtId="0" fontId="3" fillId="0" borderId="0" xfId="0" applyFont="1"/>
    <xf numFmtId="0" fontId="3" fillId="0" borderId="0" xfId="0" applyFont="1" applyFill="1"/>
    <xf numFmtId="0" fontId="3" fillId="0" borderId="0" xfId="0" applyFont="1" applyFill="1" applyAlignment="1">
      <alignment horizontal="right"/>
    </xf>
    <xf numFmtId="0" fontId="4" fillId="0" borderId="1" xfId="0" applyFont="1" applyFill="1" applyBorder="1" applyAlignment="1">
      <alignment vertical="center" readingOrder="2"/>
    </xf>
    <xf numFmtId="0" fontId="4" fillId="0" borderId="0" xfId="0" applyFont="1" applyFill="1" applyBorder="1" applyAlignment="1">
      <alignment vertical="center" readingOrder="2"/>
    </xf>
    <xf numFmtId="0" fontId="5" fillId="0" borderId="0" xfId="0" applyFont="1" applyFill="1" applyAlignment="1">
      <alignment vertical="center" readingOrder="2"/>
    </xf>
    <xf numFmtId="0" fontId="4" fillId="0" borderId="0" xfId="0" applyFont="1" applyFill="1"/>
    <xf numFmtId="0" fontId="4" fillId="0" borderId="0" xfId="0" applyFont="1" applyFill="1" applyAlignment="1">
      <alignment horizontal="right"/>
    </xf>
    <xf numFmtId="0" fontId="7" fillId="0" borderId="0" xfId="0" applyFont="1" applyFill="1" applyAlignment="1">
      <alignment vertical="center" readingOrder="2"/>
    </xf>
    <xf numFmtId="0" fontId="9" fillId="0" borderId="0" xfId="0" applyFont="1" applyFill="1" applyAlignment="1">
      <alignment vertical="center" wrapText="1" readingOrder="2"/>
    </xf>
    <xf numFmtId="0" fontId="10" fillId="0" borderId="0" xfId="0" applyFont="1" applyAlignment="1">
      <alignment vertical="center" wrapText="1" readingOrder="2"/>
    </xf>
    <xf numFmtId="0" fontId="9" fillId="0" borderId="0" xfId="0" applyFont="1" applyAlignment="1">
      <alignment vertical="center" wrapText="1" readingOrder="2"/>
    </xf>
    <xf numFmtId="0" fontId="10" fillId="0" borderId="0" xfId="0" applyFont="1" applyFill="1" applyAlignment="1">
      <alignment vertical="center" wrapText="1" readingOrder="2"/>
    </xf>
    <xf numFmtId="0" fontId="12" fillId="0" borderId="0" xfId="0" applyFont="1" applyAlignment="1">
      <alignment horizontal="center" vertical="center" wrapText="1" readingOrder="2"/>
    </xf>
    <xf numFmtId="0" fontId="8" fillId="2" borderId="25" xfId="0" applyFont="1" applyFill="1" applyBorder="1" applyAlignment="1">
      <alignment horizontal="center" vertical="center" wrapText="1"/>
    </xf>
    <xf numFmtId="0" fontId="13" fillId="2" borderId="26" xfId="0" applyFont="1" applyFill="1" applyBorder="1" applyAlignment="1">
      <alignment horizontal="center" vertical="center" wrapText="1" readingOrder="2"/>
    </xf>
    <xf numFmtId="0" fontId="8" fillId="2" borderId="23" xfId="0" applyFont="1" applyFill="1" applyBorder="1" applyAlignment="1">
      <alignment horizontal="center" vertical="center" wrapText="1" readingOrder="2"/>
    </xf>
    <xf numFmtId="0" fontId="13" fillId="2" borderId="23" xfId="0" applyFont="1" applyFill="1" applyBorder="1" applyAlignment="1">
      <alignment horizontal="center" vertical="center" wrapText="1" readingOrder="2"/>
    </xf>
    <xf numFmtId="1" fontId="4" fillId="0" borderId="0" xfId="0" applyNumberFormat="1" applyFont="1" applyBorder="1" applyAlignment="1">
      <alignment horizontal="right"/>
    </xf>
    <xf numFmtId="3" fontId="3" fillId="0" borderId="0" xfId="0" applyNumberFormat="1" applyFont="1"/>
    <xf numFmtId="3" fontId="14" fillId="0" borderId="0" xfId="0" applyNumberFormat="1" applyFont="1"/>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4" xfId="0" applyFont="1" applyBorder="1" applyAlignment="1">
      <alignment horizontal="right" vertical="center" wrapText="1"/>
    </xf>
    <xf numFmtId="0" fontId="4" fillId="0" borderId="5" xfId="0" applyFont="1" applyBorder="1" applyAlignment="1">
      <alignment vertical="center" wrapText="1"/>
    </xf>
    <xf numFmtId="0" fontId="4" fillId="0" borderId="4" xfId="0" applyNumberFormat="1" applyFont="1" applyBorder="1" applyAlignment="1">
      <alignment horizontal="right" vertical="center"/>
    </xf>
    <xf numFmtId="0" fontId="4" fillId="0" borderId="6" xfId="0" applyNumberFormat="1" applyFont="1" applyBorder="1" applyAlignment="1">
      <alignment horizontal="right" vertical="center"/>
    </xf>
    <xf numFmtId="1" fontId="4" fillId="0" borderId="7" xfId="0" applyNumberFormat="1" applyFont="1" applyBorder="1" applyAlignment="1">
      <alignment horizontal="right" vertical="center"/>
    </xf>
    <xf numFmtId="3" fontId="3" fillId="0" borderId="0" xfId="0" applyNumberFormat="1" applyFont="1" applyAlignment="1">
      <alignment horizontal="left"/>
    </xf>
    <xf numFmtId="1" fontId="14" fillId="0" borderId="0" xfId="0" applyNumberFormat="1" applyFont="1" applyBorder="1" applyAlignment="1">
      <alignment horizontal="right"/>
    </xf>
    <xf numFmtId="0" fontId="4" fillId="0" borderId="4" xfId="0" applyFont="1" applyBorder="1" applyAlignment="1">
      <alignment vertical="center"/>
    </xf>
    <xf numFmtId="0" fontId="4" fillId="0" borderId="6" xfId="0" applyFont="1" applyBorder="1" applyAlignment="1">
      <alignment vertical="center"/>
    </xf>
    <xf numFmtId="0" fontId="4" fillId="2" borderId="2" xfId="0" applyFont="1" applyFill="1" applyBorder="1" applyAlignment="1">
      <alignment horizontal="center" vertical="center"/>
    </xf>
    <xf numFmtId="1" fontId="4" fillId="0" borderId="8" xfId="0" applyNumberFormat="1" applyFont="1" applyBorder="1" applyAlignment="1">
      <alignment vertical="center"/>
    </xf>
    <xf numFmtId="3" fontId="3" fillId="0" borderId="5" xfId="0" applyNumberFormat="1" applyFont="1" applyBorder="1" applyAlignment="1">
      <alignment vertical="center"/>
    </xf>
    <xf numFmtId="3" fontId="3" fillId="0" borderId="9" xfId="0" applyNumberFormat="1" applyFont="1" applyBorder="1" applyAlignment="1">
      <alignment vertical="center"/>
    </xf>
    <xf numFmtId="3" fontId="3" fillId="0" borderId="7" xfId="0" applyNumberFormat="1" applyFont="1" applyBorder="1" applyAlignment="1">
      <alignment vertical="center"/>
    </xf>
    <xf numFmtId="3" fontId="3" fillId="0" borderId="10" xfId="0" applyNumberFormat="1" applyFont="1" applyBorder="1" applyAlignment="1">
      <alignment vertical="center"/>
    </xf>
    <xf numFmtId="0" fontId="4" fillId="0" borderId="4" xfId="0" applyFont="1" applyBorder="1" applyAlignment="1">
      <alignment horizontal="center" vertical="center"/>
    </xf>
    <xf numFmtId="0" fontId="4" fillId="0" borderId="11" xfId="0" applyFont="1" applyBorder="1" applyAlignment="1">
      <alignment vertical="center" wrapText="1"/>
    </xf>
    <xf numFmtId="175" fontId="3" fillId="0" borderId="5" xfId="1" applyNumberFormat="1" applyFont="1" applyBorder="1" applyAlignment="1">
      <alignment vertical="center"/>
    </xf>
    <xf numFmtId="175" fontId="3" fillId="0" borderId="9" xfId="1" applyNumberFormat="1" applyFont="1" applyBorder="1" applyAlignment="1">
      <alignment vertical="center"/>
    </xf>
    <xf numFmtId="0" fontId="4" fillId="0" borderId="11" xfId="0" applyFont="1" applyBorder="1" applyAlignment="1">
      <alignment vertical="center"/>
    </xf>
    <xf numFmtId="0" fontId="4" fillId="0" borderId="8" xfId="0" applyNumberFormat="1" applyFont="1" applyBorder="1" applyAlignment="1">
      <alignment horizontal="right" vertical="center"/>
    </xf>
    <xf numFmtId="0" fontId="4" fillId="0" borderId="12" xfId="0" applyFont="1" applyBorder="1" applyAlignment="1">
      <alignment vertical="center"/>
    </xf>
    <xf numFmtId="175" fontId="3" fillId="0" borderId="7" xfId="1" applyNumberFormat="1" applyFont="1" applyBorder="1" applyAlignment="1">
      <alignment vertical="center"/>
    </xf>
    <xf numFmtId="175" fontId="3" fillId="0" borderId="10" xfId="1" applyNumberFormat="1" applyFont="1" applyBorder="1" applyAlignment="1">
      <alignment vertical="center"/>
    </xf>
    <xf numFmtId="1" fontId="4" fillId="0" borderId="4" xfId="0" applyNumberFormat="1" applyFont="1" applyBorder="1" applyAlignment="1">
      <alignment horizontal="right" vertical="center"/>
    </xf>
    <xf numFmtId="1" fontId="4" fillId="0" borderId="0" xfId="0" applyNumberFormat="1" applyFont="1" applyAlignment="1"/>
    <xf numFmtId="1" fontId="4" fillId="0" borderId="0" xfId="0" applyNumberFormat="1" applyFont="1"/>
    <xf numFmtId="0" fontId="4" fillId="0" borderId="5" xfId="0" applyFont="1" applyBorder="1" applyAlignment="1">
      <alignment horizontal="right" vertical="center"/>
    </xf>
    <xf numFmtId="0" fontId="4" fillId="2" borderId="5" xfId="0" applyFont="1" applyFill="1" applyBorder="1" applyAlignment="1">
      <alignment horizontal="center" vertical="center"/>
    </xf>
    <xf numFmtId="3" fontId="3" fillId="0" borderId="5" xfId="0" applyNumberFormat="1" applyFont="1" applyBorder="1"/>
    <xf numFmtId="0" fontId="4" fillId="2" borderId="13" xfId="0" applyFont="1" applyFill="1" applyBorder="1" applyAlignment="1">
      <alignment horizontal="center" vertical="center"/>
    </xf>
    <xf numFmtId="3" fontId="3" fillId="0" borderId="14" xfId="0" applyNumberFormat="1" applyFont="1" applyBorder="1"/>
    <xf numFmtId="3" fontId="3" fillId="0" borderId="7" xfId="0" applyNumberFormat="1" applyFont="1" applyBorder="1"/>
    <xf numFmtId="3" fontId="3" fillId="0" borderId="15" xfId="0" applyNumberFormat="1" applyFont="1" applyBorder="1"/>
    <xf numFmtId="175" fontId="3" fillId="0" borderId="16" xfId="1" applyNumberFormat="1" applyFont="1" applyBorder="1" applyAlignment="1">
      <alignment vertical="center"/>
    </xf>
    <xf numFmtId="175" fontId="3" fillId="0" borderId="17" xfId="1" applyNumberFormat="1" applyFont="1" applyBorder="1" applyAlignment="1">
      <alignment vertical="center"/>
    </xf>
    <xf numFmtId="3" fontId="3" fillId="0" borderId="14" xfId="0" applyNumberFormat="1" applyFont="1" applyBorder="1" applyAlignment="1">
      <alignment vertical="center"/>
    </xf>
    <xf numFmtId="3" fontId="3" fillId="0" borderId="15" xfId="0" applyNumberFormat="1" applyFont="1" applyBorder="1" applyAlignment="1">
      <alignment vertical="center"/>
    </xf>
    <xf numFmtId="175" fontId="3" fillId="0" borderId="14" xfId="1" applyNumberFormat="1" applyFont="1" applyBorder="1" applyAlignment="1">
      <alignment vertical="center"/>
    </xf>
    <xf numFmtId="175" fontId="3" fillId="0" borderId="15" xfId="1" applyNumberFormat="1" applyFont="1" applyBorder="1" applyAlignment="1">
      <alignment vertical="center"/>
    </xf>
    <xf numFmtId="1" fontId="6" fillId="0" borderId="0" xfId="2" applyNumberFormat="1" applyFont="1" applyFill="1" applyBorder="1" applyAlignment="1">
      <alignment horizontal="right"/>
    </xf>
    <xf numFmtId="0" fontId="4" fillId="2" borderId="18"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5" xfId="0" applyFont="1" applyFill="1" applyBorder="1" applyAlignment="1">
      <alignment horizontal="center" vertical="center"/>
    </xf>
    <xf numFmtId="1" fontId="4" fillId="0" borderId="0" xfId="0" applyNumberFormat="1" applyFont="1" applyBorder="1" applyAlignment="1">
      <alignment horizontal="right"/>
    </xf>
    <xf numFmtId="0" fontId="4" fillId="2" borderId="20"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xf>
    <xf numFmtId="1" fontId="4" fillId="0" borderId="22" xfId="0" applyNumberFormat="1" applyFont="1" applyBorder="1" applyAlignment="1">
      <alignment horizontal="right"/>
    </xf>
    <xf numFmtId="1" fontId="4" fillId="2" borderId="5" xfId="0" applyNumberFormat="1" applyFont="1" applyFill="1" applyBorder="1" applyAlignment="1">
      <alignment horizontal="center" vertical="center"/>
    </xf>
    <xf numFmtId="1" fontId="4" fillId="2" borderId="21" xfId="0" applyNumberFormat="1" applyFont="1" applyFill="1" applyBorder="1" applyAlignment="1">
      <alignment horizontal="center" vertical="center"/>
    </xf>
    <xf numFmtId="1" fontId="4" fillId="2" borderId="8" xfId="0" applyNumberFormat="1" applyFont="1" applyFill="1" applyBorder="1" applyAlignment="1">
      <alignment horizontal="center" vertical="center"/>
    </xf>
    <xf numFmtId="1" fontId="4" fillId="2" borderId="20"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1" fontId="4" fillId="0" borderId="0" xfId="0" applyNumberFormat="1" applyFont="1" applyAlignment="1">
      <alignment horizontal="right"/>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_noorini/Downloads/&#1608;&#1740;&#1688;&#1711;&#1740;&#1607;&#1575;%20&#1605;&#1581;&#1740;&#1591;%20&#1586;&#1740;&#1587;&#1578;&#1740;%20&#1705;&#1575;&#1585;&#1711;&#1575;&#1607;%20&#1607;&#1575;&#1740;%20&#1589;&#1606;&#1593;&#1578;&#1740;%2010%20&#1606;&#1601;&#1585;%20&#1705;&#1575;&#1585;&#1705;&#1606;%20&#1608;%20&#1576;&#1740;&#1588;&#1578;&#1585;%201394%20&#1608;%2013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فهرست"/>
      <sheetName val="توضیحات ضروری"/>
      <sheetName val="تعداد کارگاه آیسیک"/>
      <sheetName val="تعداد کارگاه استان"/>
      <sheetName val="آب مصرفی آیسیک"/>
      <sheetName val="آب مصرفی استان"/>
      <sheetName val="آب خریدار آیسیک"/>
      <sheetName val="آب خریداری استان"/>
      <sheetName val="فاضلاب آیسیک"/>
      <sheetName val="فاضلاب استان"/>
      <sheetName val="پسماند آیسیک"/>
      <sheetName val="پسماند استان"/>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5E0B-63C5-40E8-B2E7-3BE5180037BA}">
  <dimension ref="A1:L8"/>
  <sheetViews>
    <sheetView rightToLeft="1" tabSelected="1" workbookViewId="0">
      <selection activeCell="G1" sqref="G1"/>
    </sheetView>
  </sheetViews>
  <sheetFormatPr defaultRowHeight="35.25" customHeight="1"/>
  <cols>
    <col min="1" max="1" width="104.85546875" style="9" customWidth="1"/>
    <col min="2" max="16384" width="9.140625" style="9"/>
  </cols>
  <sheetData>
    <row r="1" spans="1:12" ht="46.5" customHeight="1">
      <c r="A1" s="16" t="s">
        <v>109</v>
      </c>
      <c r="B1" s="13"/>
      <c r="C1" s="13"/>
      <c r="D1" s="13"/>
      <c r="E1" s="13"/>
      <c r="F1" s="13"/>
      <c r="G1" s="13"/>
      <c r="H1" s="13"/>
      <c r="I1" s="13"/>
      <c r="J1" s="13"/>
      <c r="K1" s="13"/>
      <c r="L1" s="13"/>
    </row>
    <row r="2" spans="1:12" ht="35.25" customHeight="1">
      <c r="A2" s="11" t="s">
        <v>33</v>
      </c>
      <c r="B2" s="12"/>
      <c r="C2" s="14"/>
      <c r="D2" s="14"/>
      <c r="E2" s="14"/>
      <c r="F2" s="14"/>
      <c r="G2" s="14"/>
      <c r="H2" s="14"/>
      <c r="I2" s="14"/>
      <c r="J2" s="14"/>
      <c r="K2" s="14"/>
    </row>
    <row r="3" spans="1:12" ht="35.25" customHeight="1">
      <c r="A3" s="71" t="s">
        <v>99</v>
      </c>
      <c r="B3" s="71"/>
      <c r="C3" s="71"/>
      <c r="D3" s="71"/>
      <c r="E3" s="71"/>
      <c r="F3" s="71"/>
      <c r="G3" s="71"/>
      <c r="H3" s="71"/>
      <c r="I3" s="71"/>
      <c r="J3" s="71"/>
      <c r="K3" s="14"/>
    </row>
    <row r="4" spans="1:12" ht="35.25" customHeight="1">
      <c r="A4" s="71" t="s">
        <v>98</v>
      </c>
      <c r="B4" s="71"/>
      <c r="C4" s="71"/>
      <c r="D4" s="71"/>
      <c r="E4" s="71"/>
      <c r="F4" s="71"/>
      <c r="G4" s="71"/>
      <c r="H4" s="71"/>
      <c r="I4" s="71"/>
      <c r="J4" s="71"/>
      <c r="K4" s="71"/>
      <c r="L4" s="10"/>
    </row>
    <row r="5" spans="1:12" s="10" customFormat="1" ht="35.25" customHeight="1">
      <c r="A5" s="71" t="s">
        <v>104</v>
      </c>
      <c r="B5" s="71"/>
      <c r="C5" s="71"/>
      <c r="D5" s="71"/>
      <c r="E5" s="71"/>
      <c r="F5" s="71"/>
      <c r="G5" s="71"/>
      <c r="H5" s="71"/>
      <c r="I5" s="71"/>
      <c r="J5" s="71"/>
      <c r="K5" s="71"/>
    </row>
    <row r="6" spans="1:12" s="10" customFormat="1" ht="35.25" customHeight="1">
      <c r="A6" s="71" t="s">
        <v>105</v>
      </c>
      <c r="B6" s="71"/>
      <c r="C6" s="71"/>
      <c r="D6" s="71"/>
      <c r="E6" s="71"/>
      <c r="F6" s="71"/>
      <c r="G6" s="71"/>
      <c r="H6" s="71"/>
      <c r="I6" s="71"/>
      <c r="J6" s="71"/>
      <c r="K6" s="15"/>
    </row>
    <row r="7" spans="1:12" s="10" customFormat="1" ht="35.25" customHeight="1">
      <c r="A7" s="71" t="s">
        <v>106</v>
      </c>
      <c r="B7" s="71"/>
      <c r="C7" s="71"/>
      <c r="D7" s="71"/>
      <c r="E7" s="71"/>
      <c r="F7" s="71"/>
      <c r="G7" s="71"/>
      <c r="H7" s="71"/>
      <c r="I7" s="71"/>
      <c r="J7" s="71"/>
      <c r="K7" s="15"/>
    </row>
    <row r="8" spans="1:12" s="10" customFormat="1" ht="35.25" customHeight="1">
      <c r="A8" s="71" t="s">
        <v>107</v>
      </c>
      <c r="B8" s="71"/>
      <c r="C8" s="71"/>
      <c r="D8" s="71"/>
      <c r="E8" s="71"/>
      <c r="F8" s="71"/>
      <c r="G8" s="71"/>
      <c r="H8" s="71"/>
      <c r="I8" s="71"/>
      <c r="J8" s="71"/>
      <c r="K8" s="15"/>
    </row>
  </sheetData>
  <mergeCells count="6">
    <mergeCell ref="A7:J7"/>
    <mergeCell ref="A8:J8"/>
    <mergeCell ref="A3:J3"/>
    <mergeCell ref="A4:K4"/>
    <mergeCell ref="A5:K5"/>
    <mergeCell ref="A6:J6"/>
  </mergeCells>
  <hyperlinks>
    <hyperlink ref="A4:K4" location="'تعداد کارگاه استان'!A1" display="جدول 2 -تعداد کارگاه های فعال صنعتی 10 نفر کارکن و بیشتر به تفکیک استان : 1394 و 1395" xr:uid="{3EBD6707-63E5-4676-959F-D1BC1235CAFC}"/>
    <hyperlink ref="A5:K5" location="'آب مصرفی آیسیک'!A1" display="جدول 3- مقدار آب مصرفی در کارگاه های صنعتی 10 نفر کارکن و بیش تر به تفکیک فعالیت: 1395-1394   " xr:uid="{011ECE07-5F36-4ADD-80AE-E6F67C8AA2AF}"/>
    <hyperlink ref="A6:J6" location="'آب مصرفی استان'!A1" display="جدول 4- مقدار آب مصرفی در کارگاه های صنعتی 10 نفر کارکن و بیش تر به تفکیک استان: 1395-1394" xr:uid="{2FA73776-A930-42B5-94B7-F4B0E7D4B80A}"/>
    <hyperlink ref="A7:J7" location="'آب خریدار آیسیک'!A1" display="جدول 5- مقدار آب خریداری شده در کارگاه های صنعتی 10 نفر کارکن و بیش تر به تفکیک فعالیت: 1395-1394    " xr:uid="{ACACFA9A-2B14-4805-AFEC-7531A1286A71}"/>
    <hyperlink ref="A8:J8" location="'آب خریداری استان'!A1" display="جدول 6-  مقدار آب خریداری شده در کارگاه های صنعتی 10 نفر کارکن و بیش تر به تفکیک استان: 1395-1394" xr:uid="{5E16832E-F253-4788-847B-C11A30D38488}"/>
    <hyperlink ref="A3:J3" location="'تعداد کارگاه آیسیک'!A1" display="جدول 1 - تعداد کارگاه های فعال صنعتی 10 نفر کارکن و بیشتر به تفکیک فعالیت : 1394 و 1395" xr:uid="{DFC41425-8F5E-4D2C-8408-A9C04A72EC6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6B74-4B8C-4A75-81F1-5E570E285335}">
  <dimension ref="A1:A35"/>
  <sheetViews>
    <sheetView rightToLeft="1" workbookViewId="0">
      <selection activeCell="A20" sqref="A20"/>
    </sheetView>
  </sheetViews>
  <sheetFormatPr defaultRowHeight="32.25" customHeight="1"/>
  <cols>
    <col min="1" max="1" width="130.28515625" style="8" customWidth="1"/>
    <col min="2" max="16384" width="9.140625" style="8"/>
  </cols>
  <sheetData>
    <row r="1" spans="1:1" s="1" customFormat="1" ht="44.25" customHeight="1">
      <c r="A1" s="21" t="s">
        <v>68</v>
      </c>
    </row>
    <row r="2" spans="1:1" s="1" customFormat="1" ht="32.25" customHeight="1">
      <c r="A2" s="17" t="s">
        <v>69</v>
      </c>
    </row>
    <row r="3" spans="1:1" s="1" customFormat="1" ht="32.25" customHeight="1">
      <c r="A3" s="18" t="s">
        <v>97</v>
      </c>
    </row>
    <row r="4" spans="1:1" s="1" customFormat="1" ht="32.25" customHeight="1">
      <c r="A4" s="17" t="s">
        <v>70</v>
      </c>
    </row>
    <row r="5" spans="1:1" s="1" customFormat="1" ht="32.25" customHeight="1">
      <c r="A5" s="18" t="s">
        <v>112</v>
      </c>
    </row>
    <row r="6" spans="1:1" s="4" customFormat="1" ht="32.25" customHeight="1">
      <c r="A6" s="17" t="s">
        <v>71</v>
      </c>
    </row>
    <row r="7" spans="1:1" s="4" customFormat="1" ht="32.25" customHeight="1">
      <c r="A7" s="18" t="s">
        <v>73</v>
      </c>
    </row>
    <row r="8" spans="1:1" s="4" customFormat="1" ht="32.25" customHeight="1">
      <c r="A8" s="17" t="s">
        <v>72</v>
      </c>
    </row>
    <row r="9" spans="1:1" s="4" customFormat="1" ht="32.25" customHeight="1">
      <c r="A9" s="18" t="s">
        <v>113</v>
      </c>
    </row>
    <row r="10" spans="1:1" s="4" customFormat="1" ht="32.25" customHeight="1">
      <c r="A10" s="17" t="s">
        <v>74</v>
      </c>
    </row>
    <row r="11" spans="1:1" s="3" customFormat="1" ht="32.25" customHeight="1">
      <c r="A11" s="18" t="s">
        <v>111</v>
      </c>
    </row>
    <row r="12" spans="1:1" s="4" customFormat="1" ht="32.25" customHeight="1">
      <c r="A12" s="17" t="s">
        <v>75</v>
      </c>
    </row>
    <row r="13" spans="1:1" s="3" customFormat="1" ht="32.25" customHeight="1">
      <c r="A13" s="18" t="s">
        <v>76</v>
      </c>
    </row>
    <row r="14" spans="1:1" s="3" customFormat="1" ht="32.25" customHeight="1">
      <c r="A14" s="19" t="s">
        <v>88</v>
      </c>
    </row>
    <row r="15" spans="1:1" s="3" customFormat="1" ht="32.25" customHeight="1">
      <c r="A15" s="18" t="s">
        <v>108</v>
      </c>
    </row>
    <row r="16" spans="1:1" s="3" customFormat="1" ht="32.25" customHeight="1">
      <c r="A16" s="19" t="s">
        <v>81</v>
      </c>
    </row>
    <row r="17" spans="1:1" s="3" customFormat="1" ht="59.25" customHeight="1">
      <c r="A17" s="20" t="s">
        <v>89</v>
      </c>
    </row>
    <row r="18" spans="1:1" s="3" customFormat="1" ht="59.25" customHeight="1">
      <c r="A18" s="19" t="s">
        <v>110</v>
      </c>
    </row>
    <row r="19" spans="1:1" s="3" customFormat="1" ht="59.25" customHeight="1">
      <c r="A19" s="20" t="s">
        <v>114</v>
      </c>
    </row>
    <row r="20" spans="1:1" s="1" customFormat="1" ht="32.25" customHeight="1">
      <c r="A20" s="19" t="s">
        <v>82</v>
      </c>
    </row>
    <row r="21" spans="1:1" s="1" customFormat="1" ht="32.25" customHeight="1">
      <c r="A21" s="18" t="s">
        <v>87</v>
      </c>
    </row>
    <row r="22" spans="1:1" s="4" customFormat="1" ht="32.25" customHeight="1">
      <c r="A22" s="19" t="s">
        <v>83</v>
      </c>
    </row>
    <row r="23" spans="1:1" s="3" customFormat="1" ht="32.25" customHeight="1">
      <c r="A23" s="18" t="s">
        <v>84</v>
      </c>
    </row>
    <row r="24" spans="1:1" s="4" customFormat="1" ht="32.25" customHeight="1">
      <c r="A24" s="19" t="s">
        <v>85</v>
      </c>
    </row>
    <row r="25" spans="1:1" s="18" customFormat="1" ht="32.25" customHeight="1">
      <c r="A25" s="18" t="s">
        <v>86</v>
      </c>
    </row>
    <row r="26" spans="1:1" s="4" customFormat="1" ht="32.25" customHeight="1">
      <c r="A26" s="19"/>
    </row>
    <row r="27" spans="1:1" s="18" customFormat="1" ht="32.25" customHeight="1">
      <c r="A27" s="3"/>
    </row>
    <row r="28" spans="1:1" ht="32.25" customHeight="1">
      <c r="A28" s="2"/>
    </row>
    <row r="29" spans="1:1" ht="32.25" customHeight="1">
      <c r="A29" s="3"/>
    </row>
    <row r="30" spans="1:1" ht="32.25" customHeight="1">
      <c r="A30" s="2"/>
    </row>
    <row r="31" spans="1:1" ht="32.25" customHeight="1">
      <c r="A31" s="3"/>
    </row>
    <row r="32" spans="1:1" ht="32.25" customHeight="1">
      <c r="A32" s="2"/>
    </row>
    <row r="33" spans="1:1" ht="32.25" customHeight="1">
      <c r="A33" s="3"/>
    </row>
    <row r="34" spans="1:1" ht="32.25" customHeight="1">
      <c r="A34" s="2"/>
    </row>
    <row r="35" spans="1:1" ht="32.25" customHeight="1">
      <c r="A35" s="3"/>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4223-B362-4956-A895-B76C72E508C0}">
  <dimension ref="A1:B16"/>
  <sheetViews>
    <sheetView rightToLeft="1" workbookViewId="0">
      <selection activeCell="B17" sqref="B17"/>
    </sheetView>
  </sheetViews>
  <sheetFormatPr defaultRowHeight="30" customHeight="1"/>
  <cols>
    <col min="2" max="2" width="81.7109375" customWidth="1"/>
  </cols>
  <sheetData>
    <row r="1" spans="1:2" ht="30" customHeight="1" thickTop="1">
      <c r="A1" s="5"/>
      <c r="B1" s="22"/>
    </row>
    <row r="2" spans="1:2" ht="30" customHeight="1">
      <c r="A2" s="5"/>
      <c r="B2" s="23" t="s">
        <v>77</v>
      </c>
    </row>
    <row r="3" spans="1:2" ht="30" customHeight="1">
      <c r="A3" s="5"/>
      <c r="B3" s="24" t="s">
        <v>78</v>
      </c>
    </row>
    <row r="4" spans="1:2" ht="30" customHeight="1">
      <c r="A4" s="5"/>
      <c r="B4" s="25" t="s">
        <v>79</v>
      </c>
    </row>
    <row r="5" spans="1:2" ht="30" customHeight="1">
      <c r="A5" s="5"/>
      <c r="B5" s="24" t="s">
        <v>115</v>
      </c>
    </row>
    <row r="6" spans="1:2" s="6" customFormat="1" ht="30" customHeight="1">
      <c r="A6" s="5"/>
      <c r="B6" s="25" t="s">
        <v>90</v>
      </c>
    </row>
    <row r="7" spans="1:2" s="6" customFormat="1" ht="30" customHeight="1">
      <c r="A7" s="5"/>
      <c r="B7" s="24" t="s">
        <v>91</v>
      </c>
    </row>
    <row r="8" spans="1:2" s="6" customFormat="1" ht="30" customHeight="1">
      <c r="A8" s="5"/>
      <c r="B8" s="25" t="s">
        <v>92</v>
      </c>
    </row>
    <row r="9" spans="1:2" s="6" customFormat="1" ht="30" customHeight="1">
      <c r="A9" s="5"/>
      <c r="B9" s="24" t="s">
        <v>93</v>
      </c>
    </row>
    <row r="10" spans="1:2" s="6" customFormat="1" ht="36.75" customHeight="1">
      <c r="A10" s="5"/>
      <c r="B10" s="24" t="s">
        <v>94</v>
      </c>
    </row>
    <row r="11" spans="1:2" s="6" customFormat="1" ht="30" customHeight="1">
      <c r="A11" s="5"/>
      <c r="B11" s="24" t="s">
        <v>95</v>
      </c>
    </row>
    <row r="12" spans="1:2" ht="30" customHeight="1">
      <c r="A12" s="5"/>
      <c r="B12" s="25" t="s">
        <v>80</v>
      </c>
    </row>
    <row r="13" spans="1:2" ht="30" customHeight="1">
      <c r="A13" s="5"/>
      <c r="B13" s="24" t="s">
        <v>116</v>
      </c>
    </row>
    <row r="14" spans="1:2" ht="30" customHeight="1">
      <c r="A14" s="5"/>
      <c r="B14" s="25" t="s">
        <v>49</v>
      </c>
    </row>
    <row r="15" spans="1:2" ht="30" customHeight="1" thickBot="1">
      <c r="A15" s="5"/>
      <c r="B15" s="24" t="s">
        <v>117</v>
      </c>
    </row>
    <row r="16" spans="1:2" ht="30" customHeight="1" thickTop="1">
      <c r="B16"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1072-1FE8-493C-9544-5D2B7269D794}">
  <dimension ref="A1:O45"/>
  <sheetViews>
    <sheetView rightToLeft="1" workbookViewId="0">
      <selection activeCell="C30" sqref="A30:IV30"/>
    </sheetView>
  </sheetViews>
  <sheetFormatPr defaultRowHeight="28.5" customHeight="1"/>
  <cols>
    <col min="1" max="1" width="19" style="27" customWidth="1"/>
    <col min="2" max="2" width="53.7109375" style="27" customWidth="1"/>
    <col min="3" max="13" width="11.85546875" style="27" customWidth="1"/>
    <col min="14" max="14" width="9.140625" style="27"/>
    <col min="15" max="15" width="13.140625" style="36" customWidth="1"/>
    <col min="16" max="16384" width="9.140625" style="27"/>
  </cols>
  <sheetData>
    <row r="1" spans="1:15" ht="28.5" customHeight="1">
      <c r="A1" s="28" t="s">
        <v>96</v>
      </c>
      <c r="O1" s="27"/>
    </row>
    <row r="2" spans="1:15" ht="28.5" customHeight="1" thickBot="1">
      <c r="A2" s="76" t="s">
        <v>99</v>
      </c>
      <c r="B2" s="76"/>
      <c r="C2" s="76"/>
      <c r="D2" s="76"/>
      <c r="E2" s="76"/>
      <c r="F2" s="76"/>
      <c r="G2" s="76"/>
      <c r="H2" s="76"/>
      <c r="I2" s="76"/>
      <c r="J2" s="76"/>
      <c r="K2" s="76"/>
      <c r="L2" s="76"/>
      <c r="M2" s="76"/>
      <c r="O2" s="27"/>
    </row>
    <row r="3" spans="1:15" ht="28.5" customHeight="1">
      <c r="A3" s="72" t="s">
        <v>34</v>
      </c>
      <c r="B3" s="74" t="s">
        <v>35</v>
      </c>
      <c r="C3" s="75" t="s">
        <v>26</v>
      </c>
      <c r="D3" s="75"/>
      <c r="E3" s="75"/>
      <c r="F3" s="75"/>
      <c r="G3" s="75"/>
      <c r="H3" s="75"/>
      <c r="I3" s="75"/>
      <c r="J3" s="75"/>
      <c r="K3" s="75"/>
      <c r="L3" s="75"/>
      <c r="M3" s="75"/>
      <c r="O3" s="27"/>
    </row>
    <row r="4" spans="1:15" ht="28.5" customHeight="1">
      <c r="A4" s="73"/>
      <c r="B4" s="75"/>
      <c r="C4" s="29">
        <v>1383</v>
      </c>
      <c r="D4" s="29">
        <v>1384</v>
      </c>
      <c r="E4" s="30">
        <v>1385</v>
      </c>
      <c r="F4" s="40">
        <v>1386</v>
      </c>
      <c r="G4" s="40">
        <v>1387</v>
      </c>
      <c r="H4" s="40">
        <v>1388</v>
      </c>
      <c r="I4" s="40">
        <v>1389</v>
      </c>
      <c r="J4" s="40">
        <v>1390</v>
      </c>
      <c r="K4" s="40">
        <v>1391</v>
      </c>
      <c r="L4" s="40">
        <v>1392</v>
      </c>
      <c r="M4" s="40">
        <v>1393</v>
      </c>
      <c r="O4" s="27"/>
    </row>
    <row r="5" spans="1:15" ht="28.5" customHeight="1">
      <c r="A5" s="31"/>
      <c r="B5" s="32" t="s">
        <v>36</v>
      </c>
      <c r="C5" s="32">
        <f>SUM(C6:C29)</f>
        <v>22978</v>
      </c>
      <c r="D5" s="32">
        <f>SUM(D6:D29)</f>
        <v>22903</v>
      </c>
      <c r="E5" s="32">
        <v>23732</v>
      </c>
      <c r="F5" s="32">
        <f>SUM(F6:F29)</f>
        <v>25095</v>
      </c>
      <c r="G5" s="32">
        <f>SUM(G6:G29)</f>
        <v>25397</v>
      </c>
      <c r="H5" s="32">
        <v>25699</v>
      </c>
      <c r="I5" s="32">
        <v>26302</v>
      </c>
      <c r="J5" s="32">
        <v>27477</v>
      </c>
      <c r="K5" s="32">
        <v>27691</v>
      </c>
      <c r="L5" s="32">
        <v>29296</v>
      </c>
      <c r="M5" s="32">
        <v>29654</v>
      </c>
      <c r="O5" s="27"/>
    </row>
    <row r="6" spans="1:15" ht="28.5" customHeight="1">
      <c r="A6" s="33">
        <v>10</v>
      </c>
      <c r="B6" s="32" t="s">
        <v>37</v>
      </c>
      <c r="C6" s="32">
        <v>2585</v>
      </c>
      <c r="D6" s="32">
        <v>2592</v>
      </c>
      <c r="E6" s="32">
        <v>2622</v>
      </c>
      <c r="F6" s="32">
        <v>2932</v>
      </c>
      <c r="G6" s="32">
        <v>2892</v>
      </c>
      <c r="H6" s="32">
        <v>2775</v>
      </c>
      <c r="I6" s="32">
        <v>2648</v>
      </c>
      <c r="J6" s="32">
        <v>2631</v>
      </c>
      <c r="K6" s="32">
        <v>2796</v>
      </c>
      <c r="L6" s="32">
        <v>2831</v>
      </c>
      <c r="M6" s="32">
        <v>2643</v>
      </c>
      <c r="O6" s="27"/>
    </row>
    <row r="7" spans="1:15" ht="28.5" customHeight="1">
      <c r="A7" s="33">
        <v>11</v>
      </c>
      <c r="B7" s="32" t="s">
        <v>38</v>
      </c>
      <c r="C7" s="32">
        <v>103</v>
      </c>
      <c r="D7" s="32">
        <v>106</v>
      </c>
      <c r="E7" s="32">
        <v>107</v>
      </c>
      <c r="F7" s="32">
        <v>128</v>
      </c>
      <c r="G7" s="32">
        <v>136</v>
      </c>
      <c r="H7" s="32">
        <v>131</v>
      </c>
      <c r="I7" s="32">
        <v>129</v>
      </c>
      <c r="J7" s="32">
        <v>128</v>
      </c>
      <c r="K7" s="32">
        <v>138</v>
      </c>
      <c r="L7" s="32">
        <v>135</v>
      </c>
      <c r="M7" s="32">
        <v>134</v>
      </c>
      <c r="O7" s="27"/>
    </row>
    <row r="8" spans="1:15" ht="28.5" customHeight="1">
      <c r="A8" s="33">
        <v>12</v>
      </c>
      <c r="B8" s="32" t="s">
        <v>39</v>
      </c>
      <c r="C8" s="32">
        <v>9</v>
      </c>
      <c r="D8" s="32">
        <v>9</v>
      </c>
      <c r="E8" s="32">
        <v>9</v>
      </c>
      <c r="F8" s="32">
        <v>10</v>
      </c>
      <c r="G8" s="32">
        <v>10</v>
      </c>
      <c r="H8" s="32">
        <v>10</v>
      </c>
      <c r="I8" s="32">
        <v>10</v>
      </c>
      <c r="J8" s="32">
        <v>10</v>
      </c>
      <c r="K8" s="32">
        <v>10</v>
      </c>
      <c r="L8" s="32">
        <v>13</v>
      </c>
      <c r="M8" s="32">
        <v>14</v>
      </c>
      <c r="O8" s="27"/>
    </row>
    <row r="9" spans="1:15" ht="28.5" customHeight="1">
      <c r="A9" s="33">
        <v>13</v>
      </c>
      <c r="B9" s="32" t="s">
        <v>40</v>
      </c>
      <c r="C9" s="32">
        <v>2262</v>
      </c>
      <c r="D9" s="32">
        <v>2258</v>
      </c>
      <c r="E9" s="32">
        <v>2296</v>
      </c>
      <c r="F9" s="32">
        <v>2150</v>
      </c>
      <c r="G9" s="32">
        <v>2149</v>
      </c>
      <c r="H9" s="32">
        <v>2178</v>
      </c>
      <c r="I9" s="32">
        <v>2062</v>
      </c>
      <c r="J9" s="32">
        <v>2092</v>
      </c>
      <c r="K9" s="32">
        <v>2128</v>
      </c>
      <c r="L9" s="32">
        <v>2305</v>
      </c>
      <c r="M9" s="32">
        <v>2127</v>
      </c>
      <c r="O9" s="27"/>
    </row>
    <row r="10" spans="1:15" ht="28.5" customHeight="1">
      <c r="A10" s="33">
        <v>14</v>
      </c>
      <c r="B10" s="32" t="s">
        <v>41</v>
      </c>
      <c r="C10" s="32">
        <v>397</v>
      </c>
      <c r="D10" s="32">
        <v>385</v>
      </c>
      <c r="E10" s="32">
        <v>331</v>
      </c>
      <c r="F10" s="32">
        <v>403</v>
      </c>
      <c r="G10" s="32">
        <v>394</v>
      </c>
      <c r="H10" s="32">
        <v>385</v>
      </c>
      <c r="I10" s="32">
        <v>393</v>
      </c>
      <c r="J10" s="32">
        <v>420</v>
      </c>
      <c r="K10" s="32">
        <v>409</v>
      </c>
      <c r="L10" s="32">
        <v>477</v>
      </c>
      <c r="M10" s="32">
        <v>554</v>
      </c>
      <c r="O10" s="27"/>
    </row>
    <row r="11" spans="1:15" ht="28.5" customHeight="1">
      <c r="A11" s="33">
        <v>15</v>
      </c>
      <c r="B11" s="32" t="s">
        <v>50</v>
      </c>
      <c r="C11" s="32">
        <v>409</v>
      </c>
      <c r="D11" s="32">
        <v>373</v>
      </c>
      <c r="E11" s="32">
        <v>384</v>
      </c>
      <c r="F11" s="32">
        <v>386</v>
      </c>
      <c r="G11" s="32">
        <v>388</v>
      </c>
      <c r="H11" s="32">
        <v>348</v>
      </c>
      <c r="I11" s="32">
        <v>337</v>
      </c>
      <c r="J11" s="32">
        <v>349</v>
      </c>
      <c r="K11" s="32">
        <v>379</v>
      </c>
      <c r="L11" s="32">
        <v>359</v>
      </c>
      <c r="M11" s="32">
        <v>330</v>
      </c>
      <c r="O11" s="27"/>
    </row>
    <row r="12" spans="1:15" ht="28.5" customHeight="1">
      <c r="A12" s="33">
        <v>16</v>
      </c>
      <c r="B12" s="32" t="s">
        <v>59</v>
      </c>
      <c r="C12" s="32">
        <v>319</v>
      </c>
      <c r="D12" s="32">
        <v>278</v>
      </c>
      <c r="E12" s="32">
        <v>284</v>
      </c>
      <c r="F12" s="32">
        <v>318</v>
      </c>
      <c r="G12" s="32">
        <v>350</v>
      </c>
      <c r="H12" s="32">
        <v>371</v>
      </c>
      <c r="I12" s="32">
        <v>406</v>
      </c>
      <c r="J12" s="32">
        <v>413</v>
      </c>
      <c r="K12" s="32">
        <v>516</v>
      </c>
      <c r="L12" s="32">
        <v>542</v>
      </c>
      <c r="M12" s="32">
        <v>525</v>
      </c>
      <c r="O12" s="27"/>
    </row>
    <row r="13" spans="1:15" ht="28.5" customHeight="1">
      <c r="A13" s="33">
        <v>17</v>
      </c>
      <c r="B13" s="32" t="s">
        <v>51</v>
      </c>
      <c r="C13" s="32">
        <v>458</v>
      </c>
      <c r="D13" s="32">
        <v>507</v>
      </c>
      <c r="E13" s="32">
        <v>470</v>
      </c>
      <c r="F13" s="32">
        <v>536</v>
      </c>
      <c r="G13" s="32">
        <v>579</v>
      </c>
      <c r="H13" s="32">
        <v>586</v>
      </c>
      <c r="I13" s="32">
        <v>578</v>
      </c>
      <c r="J13" s="32">
        <v>607</v>
      </c>
      <c r="K13" s="32">
        <v>653</v>
      </c>
      <c r="L13" s="32">
        <v>694</v>
      </c>
      <c r="M13" s="32">
        <v>729</v>
      </c>
      <c r="O13" s="27"/>
    </row>
    <row r="14" spans="1:15" ht="28.5" customHeight="1">
      <c r="A14" s="33">
        <v>18</v>
      </c>
      <c r="B14" s="32" t="s">
        <v>42</v>
      </c>
      <c r="C14" s="32">
        <v>444</v>
      </c>
      <c r="D14" s="32">
        <v>446</v>
      </c>
      <c r="E14" s="32">
        <v>497</v>
      </c>
      <c r="F14" s="32">
        <v>515</v>
      </c>
      <c r="G14" s="32">
        <v>475</v>
      </c>
      <c r="H14" s="32">
        <v>494</v>
      </c>
      <c r="I14" s="32">
        <v>477</v>
      </c>
      <c r="J14" s="32">
        <v>507</v>
      </c>
      <c r="K14" s="32">
        <v>507</v>
      </c>
      <c r="L14" s="32">
        <v>532</v>
      </c>
      <c r="M14" s="32">
        <v>559</v>
      </c>
      <c r="O14" s="27"/>
    </row>
    <row r="15" spans="1:15" ht="28.5" customHeight="1">
      <c r="A15" s="33">
        <v>19</v>
      </c>
      <c r="B15" s="32" t="s">
        <v>52</v>
      </c>
      <c r="C15" s="32">
        <v>180</v>
      </c>
      <c r="D15" s="32">
        <v>187</v>
      </c>
      <c r="E15" s="32">
        <v>187</v>
      </c>
      <c r="F15" s="32">
        <v>210</v>
      </c>
      <c r="G15" s="32">
        <v>214</v>
      </c>
      <c r="H15" s="32">
        <v>225</v>
      </c>
      <c r="I15" s="32">
        <v>268</v>
      </c>
      <c r="J15" s="32">
        <v>265</v>
      </c>
      <c r="K15" s="32">
        <v>254</v>
      </c>
      <c r="L15" s="32">
        <v>336</v>
      </c>
      <c r="M15" s="32">
        <v>289</v>
      </c>
      <c r="O15" s="27"/>
    </row>
    <row r="16" spans="1:15" ht="28.5" customHeight="1">
      <c r="A16" s="33">
        <v>20</v>
      </c>
      <c r="B16" s="32" t="s">
        <v>60</v>
      </c>
      <c r="C16" s="32">
        <v>1182</v>
      </c>
      <c r="D16" s="32">
        <v>1209</v>
      </c>
      <c r="E16" s="32">
        <v>1217</v>
      </c>
      <c r="F16" s="32">
        <v>1371</v>
      </c>
      <c r="G16" s="32">
        <v>1375</v>
      </c>
      <c r="H16" s="32">
        <v>1543</v>
      </c>
      <c r="I16" s="32">
        <v>1490</v>
      </c>
      <c r="J16" s="32">
        <v>1616</v>
      </c>
      <c r="K16" s="32">
        <v>1635</v>
      </c>
      <c r="L16" s="32">
        <v>1879</v>
      </c>
      <c r="M16" s="32">
        <v>1942</v>
      </c>
      <c r="O16" s="27"/>
    </row>
    <row r="17" spans="1:15" ht="28.5" customHeight="1">
      <c r="A17" s="33">
        <v>21</v>
      </c>
      <c r="B17" s="32" t="s">
        <v>61</v>
      </c>
      <c r="C17" s="32">
        <v>189</v>
      </c>
      <c r="D17" s="32">
        <v>195</v>
      </c>
      <c r="E17" s="32">
        <v>199</v>
      </c>
      <c r="F17" s="32">
        <v>210</v>
      </c>
      <c r="G17" s="32">
        <v>215</v>
      </c>
      <c r="H17" s="32">
        <v>217</v>
      </c>
      <c r="I17" s="32">
        <v>221</v>
      </c>
      <c r="J17" s="32">
        <v>229</v>
      </c>
      <c r="K17" s="32">
        <v>239</v>
      </c>
      <c r="L17" s="32">
        <v>265</v>
      </c>
      <c r="M17" s="32">
        <v>272</v>
      </c>
      <c r="O17" s="27"/>
    </row>
    <row r="18" spans="1:15" ht="28.5" customHeight="1">
      <c r="A18" s="33">
        <v>22</v>
      </c>
      <c r="B18" s="32" t="s">
        <v>62</v>
      </c>
      <c r="C18" s="32">
        <v>1320</v>
      </c>
      <c r="D18" s="32">
        <v>1325</v>
      </c>
      <c r="E18" s="32">
        <v>1515</v>
      </c>
      <c r="F18" s="32">
        <v>1781</v>
      </c>
      <c r="G18" s="32">
        <v>1771</v>
      </c>
      <c r="H18" s="32">
        <v>1718</v>
      </c>
      <c r="I18" s="32">
        <v>1927</v>
      </c>
      <c r="J18" s="32">
        <v>2005</v>
      </c>
      <c r="K18" s="32">
        <v>2041</v>
      </c>
      <c r="L18" s="32">
        <v>2312</v>
      </c>
      <c r="M18" s="32">
        <v>2380</v>
      </c>
      <c r="O18" s="27"/>
    </row>
    <row r="19" spans="1:15" ht="28.5" customHeight="1">
      <c r="A19" s="33">
        <v>23</v>
      </c>
      <c r="B19" s="32" t="s">
        <v>63</v>
      </c>
      <c r="C19" s="32">
        <v>4850</v>
      </c>
      <c r="D19" s="32">
        <v>4868</v>
      </c>
      <c r="E19" s="32">
        <v>5138</v>
      </c>
      <c r="F19" s="32">
        <v>5244</v>
      </c>
      <c r="G19" s="32">
        <v>5262</v>
      </c>
      <c r="H19" s="32">
        <v>5256</v>
      </c>
      <c r="I19" s="32">
        <v>5598</v>
      </c>
      <c r="J19" s="32">
        <v>5921</v>
      </c>
      <c r="K19" s="32">
        <v>5891</v>
      </c>
      <c r="L19" s="32">
        <v>5901</v>
      </c>
      <c r="M19" s="32">
        <v>5803</v>
      </c>
      <c r="O19" s="27"/>
    </row>
    <row r="20" spans="1:15" ht="28.5" customHeight="1">
      <c r="A20" s="33">
        <v>24</v>
      </c>
      <c r="B20" s="32" t="s">
        <v>43</v>
      </c>
      <c r="C20" s="32">
        <v>954</v>
      </c>
      <c r="D20" s="32">
        <v>977</v>
      </c>
      <c r="E20" s="32">
        <v>988</v>
      </c>
      <c r="F20" s="32">
        <v>1090</v>
      </c>
      <c r="G20" s="32">
        <v>1104</v>
      </c>
      <c r="H20" s="32">
        <v>1208</v>
      </c>
      <c r="I20" s="32">
        <v>1358</v>
      </c>
      <c r="J20" s="32">
        <v>1420</v>
      </c>
      <c r="K20" s="32">
        <v>1374</v>
      </c>
      <c r="L20" s="32">
        <v>1471</v>
      </c>
      <c r="M20" s="32">
        <v>1547</v>
      </c>
      <c r="O20" s="27"/>
    </row>
    <row r="21" spans="1:15" ht="28.5" customHeight="1">
      <c r="A21" s="33">
        <v>25</v>
      </c>
      <c r="B21" s="32" t="s">
        <v>53</v>
      </c>
      <c r="C21" s="32">
        <v>2086</v>
      </c>
      <c r="D21" s="32">
        <v>2117</v>
      </c>
      <c r="E21" s="32">
        <v>2274</v>
      </c>
      <c r="F21" s="32">
        <v>2337</v>
      </c>
      <c r="G21" s="32">
        <v>2523</v>
      </c>
      <c r="H21" s="32">
        <v>2665</v>
      </c>
      <c r="I21" s="32">
        <v>2717</v>
      </c>
      <c r="J21" s="32">
        <v>2806</v>
      </c>
      <c r="K21" s="32">
        <v>2801</v>
      </c>
      <c r="L21" s="32">
        <v>2856</v>
      </c>
      <c r="M21" s="32">
        <v>3261</v>
      </c>
      <c r="O21" s="27"/>
    </row>
    <row r="22" spans="1:15" ht="28.5" customHeight="1">
      <c r="A22" s="33">
        <v>26</v>
      </c>
      <c r="B22" s="32" t="s">
        <v>54</v>
      </c>
      <c r="C22" s="32">
        <v>456</v>
      </c>
      <c r="D22" s="32">
        <v>457</v>
      </c>
      <c r="E22" s="32">
        <v>460</v>
      </c>
      <c r="F22" s="32">
        <v>471</v>
      </c>
      <c r="G22" s="32">
        <v>473</v>
      </c>
      <c r="H22" s="32">
        <v>525</v>
      </c>
      <c r="I22" s="32">
        <v>515</v>
      </c>
      <c r="J22" s="32">
        <v>573</v>
      </c>
      <c r="K22" s="32">
        <v>523</v>
      </c>
      <c r="L22" s="32">
        <v>531</v>
      </c>
      <c r="M22" s="32">
        <v>579</v>
      </c>
      <c r="O22" s="27"/>
    </row>
    <row r="23" spans="1:15" ht="28.5" customHeight="1">
      <c r="A23" s="33">
        <v>27</v>
      </c>
      <c r="B23" s="32" t="s">
        <v>44</v>
      </c>
      <c r="C23" s="32">
        <v>1013</v>
      </c>
      <c r="D23" s="32">
        <v>955</v>
      </c>
      <c r="E23" s="32">
        <v>1037</v>
      </c>
      <c r="F23" s="32">
        <v>1065</v>
      </c>
      <c r="G23" s="32">
        <v>1071</v>
      </c>
      <c r="H23" s="32">
        <v>1110</v>
      </c>
      <c r="I23" s="32">
        <v>1142</v>
      </c>
      <c r="J23" s="32">
        <v>1193</v>
      </c>
      <c r="K23" s="32">
        <v>1168</v>
      </c>
      <c r="L23" s="32">
        <v>1252</v>
      </c>
      <c r="M23" s="32">
        <v>1303</v>
      </c>
      <c r="O23" s="27"/>
    </row>
    <row r="24" spans="1:15" ht="28.5" customHeight="1">
      <c r="A24" s="33">
        <v>28</v>
      </c>
      <c r="B24" s="32" t="s">
        <v>55</v>
      </c>
      <c r="C24" s="32">
        <v>1562</v>
      </c>
      <c r="D24" s="32">
        <v>1533</v>
      </c>
      <c r="E24" s="32">
        <v>1521</v>
      </c>
      <c r="F24" s="32">
        <v>1631</v>
      </c>
      <c r="G24" s="32">
        <v>1739</v>
      </c>
      <c r="H24" s="32">
        <v>1726</v>
      </c>
      <c r="I24" s="32">
        <v>1699</v>
      </c>
      <c r="J24" s="32">
        <v>2005</v>
      </c>
      <c r="K24" s="32">
        <v>1983</v>
      </c>
      <c r="L24" s="32">
        <v>2133</v>
      </c>
      <c r="M24" s="32">
        <v>2193</v>
      </c>
      <c r="O24" s="27"/>
    </row>
    <row r="25" spans="1:15" ht="28.5" customHeight="1">
      <c r="A25" s="33">
        <v>29</v>
      </c>
      <c r="B25" s="32" t="s">
        <v>56</v>
      </c>
      <c r="C25" s="32">
        <v>946</v>
      </c>
      <c r="D25" s="32">
        <v>924</v>
      </c>
      <c r="E25" s="32">
        <v>989</v>
      </c>
      <c r="F25" s="32">
        <v>1031</v>
      </c>
      <c r="G25" s="32">
        <v>983</v>
      </c>
      <c r="H25" s="32">
        <v>942</v>
      </c>
      <c r="I25" s="32">
        <v>952</v>
      </c>
      <c r="J25" s="32">
        <v>976</v>
      </c>
      <c r="K25" s="32">
        <v>917</v>
      </c>
      <c r="L25" s="32">
        <v>973</v>
      </c>
      <c r="M25" s="32">
        <v>981</v>
      </c>
      <c r="O25" s="27"/>
    </row>
    <row r="26" spans="1:15" ht="28.5" customHeight="1">
      <c r="A26" s="33">
        <v>30</v>
      </c>
      <c r="B26" s="32" t="s">
        <v>45</v>
      </c>
      <c r="C26" s="32">
        <v>273</v>
      </c>
      <c r="D26" s="32">
        <v>256</v>
      </c>
      <c r="E26" s="32">
        <v>243</v>
      </c>
      <c r="F26" s="32">
        <v>263</v>
      </c>
      <c r="G26" s="32">
        <v>256</v>
      </c>
      <c r="H26" s="32">
        <v>239</v>
      </c>
      <c r="I26" s="32">
        <v>231</v>
      </c>
      <c r="J26" s="32">
        <v>227</v>
      </c>
      <c r="K26" s="32">
        <v>213</v>
      </c>
      <c r="L26" s="32">
        <v>214</v>
      </c>
      <c r="M26" s="32">
        <v>183</v>
      </c>
      <c r="O26" s="27"/>
    </row>
    <row r="27" spans="1:15" ht="28.5" customHeight="1">
      <c r="A27" s="33">
        <v>31</v>
      </c>
      <c r="B27" s="32" t="s">
        <v>46</v>
      </c>
      <c r="C27" s="32">
        <v>582</v>
      </c>
      <c r="D27" s="32">
        <v>551</v>
      </c>
      <c r="E27" s="32">
        <v>569</v>
      </c>
      <c r="F27" s="32">
        <v>597</v>
      </c>
      <c r="G27" s="32">
        <v>584</v>
      </c>
      <c r="H27" s="32">
        <v>625</v>
      </c>
      <c r="I27" s="32">
        <v>686</v>
      </c>
      <c r="J27" s="32">
        <v>627</v>
      </c>
      <c r="K27" s="32">
        <v>654</v>
      </c>
      <c r="L27" s="32">
        <v>797</v>
      </c>
      <c r="M27" s="32">
        <v>827</v>
      </c>
      <c r="O27" s="27"/>
    </row>
    <row r="28" spans="1:15" ht="28.5" customHeight="1">
      <c r="A28" s="33">
        <v>32</v>
      </c>
      <c r="B28" s="32" t="s">
        <v>57</v>
      </c>
      <c r="C28" s="32">
        <v>365</v>
      </c>
      <c r="D28" s="32">
        <v>360</v>
      </c>
      <c r="E28" s="32">
        <v>363</v>
      </c>
      <c r="F28" s="32">
        <v>379</v>
      </c>
      <c r="G28" s="32">
        <v>423</v>
      </c>
      <c r="H28" s="32">
        <v>388</v>
      </c>
      <c r="I28" s="32">
        <v>417</v>
      </c>
      <c r="J28" s="32">
        <v>417</v>
      </c>
      <c r="K28" s="32">
        <v>431</v>
      </c>
      <c r="L28" s="32">
        <v>460</v>
      </c>
      <c r="M28" s="32">
        <v>453</v>
      </c>
      <c r="O28" s="27"/>
    </row>
    <row r="29" spans="1:15" ht="28.5" customHeight="1" thickBot="1">
      <c r="A29" s="34">
        <v>33</v>
      </c>
      <c r="B29" s="35" t="s">
        <v>58</v>
      </c>
      <c r="C29" s="35">
        <v>34</v>
      </c>
      <c r="D29" s="35">
        <v>35</v>
      </c>
      <c r="E29" s="35">
        <v>33</v>
      </c>
      <c r="F29" s="35">
        <v>37</v>
      </c>
      <c r="G29" s="35">
        <v>31</v>
      </c>
      <c r="H29" s="35">
        <v>33</v>
      </c>
      <c r="I29" s="35">
        <v>40</v>
      </c>
      <c r="J29" s="35">
        <v>41</v>
      </c>
      <c r="K29" s="35">
        <v>32</v>
      </c>
      <c r="L29" s="35">
        <v>30</v>
      </c>
      <c r="M29" s="35">
        <v>28</v>
      </c>
      <c r="O29" s="27"/>
    </row>
    <row r="30" spans="1:15" ht="28.5" customHeight="1">
      <c r="O30" s="27"/>
    </row>
    <row r="31" spans="1:15" ht="28.5" customHeight="1">
      <c r="O31" s="27"/>
    </row>
    <row r="32" spans="1:15" ht="28.5" customHeight="1">
      <c r="O32" s="27"/>
    </row>
    <row r="33" spans="15:15" ht="28.5" customHeight="1">
      <c r="O33" s="27"/>
    </row>
    <row r="34" spans="15:15" ht="28.5" customHeight="1">
      <c r="O34" s="27"/>
    </row>
    <row r="35" spans="15:15" ht="28.5" customHeight="1">
      <c r="O35" s="27"/>
    </row>
    <row r="36" spans="15:15" ht="28.5" customHeight="1">
      <c r="O36" s="27"/>
    </row>
    <row r="37" spans="15:15" ht="28.5" customHeight="1">
      <c r="O37" s="27"/>
    </row>
    <row r="38" spans="15:15" ht="28.5" customHeight="1">
      <c r="O38" s="27"/>
    </row>
    <row r="39" spans="15:15" ht="28.5" customHeight="1">
      <c r="O39" s="27"/>
    </row>
    <row r="40" spans="15:15" ht="28.5" customHeight="1">
      <c r="O40" s="27"/>
    </row>
    <row r="41" spans="15:15" ht="28.5" customHeight="1">
      <c r="O41" s="27"/>
    </row>
    <row r="42" spans="15:15" ht="28.5" customHeight="1">
      <c r="O42" s="27"/>
    </row>
    <row r="43" spans="15:15" ht="28.5" customHeight="1">
      <c r="O43" s="27"/>
    </row>
    <row r="44" spans="15:15" ht="28.5" customHeight="1">
      <c r="O44" s="27"/>
    </row>
    <row r="45" spans="15:15" ht="28.5" customHeight="1">
      <c r="O45" s="27"/>
    </row>
  </sheetData>
  <mergeCells count="4">
    <mergeCell ref="A3:A4"/>
    <mergeCell ref="B3:B4"/>
    <mergeCell ref="A2:M2"/>
    <mergeCell ref="C3:M3"/>
  </mergeCells>
  <pageMargins left="0.75" right="0.75" top="1" bottom="1" header="0.5" footer="0.5"/>
  <pageSetup paperSize="9"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14E5-2947-4DB0-90DD-0C0913D594C9}">
  <dimension ref="A1:L36"/>
  <sheetViews>
    <sheetView rightToLeft="1" workbookViewId="0">
      <pane ySplit="5" topLeftCell="A6" activePane="bottomLeft" state="frozen"/>
      <selection pane="bottomLeft" activeCell="F38" sqref="F38"/>
    </sheetView>
  </sheetViews>
  <sheetFormatPr defaultRowHeight="27" customHeight="1"/>
  <cols>
    <col min="1" max="12" width="19" style="27" customWidth="1"/>
    <col min="13" max="16384" width="9.140625" style="27"/>
  </cols>
  <sheetData>
    <row r="1" spans="1:12" ht="27" customHeight="1">
      <c r="A1" s="37" t="s">
        <v>96</v>
      </c>
      <c r="B1" s="37"/>
      <c r="C1" s="37"/>
      <c r="D1" s="37"/>
      <c r="E1" s="37"/>
      <c r="F1" s="37"/>
      <c r="G1" s="37"/>
      <c r="H1" s="37"/>
      <c r="I1" s="37"/>
      <c r="J1" s="37"/>
      <c r="K1" s="37"/>
      <c r="L1" s="37"/>
    </row>
    <row r="2" spans="1:12" ht="27" customHeight="1">
      <c r="A2" s="76" t="s">
        <v>98</v>
      </c>
      <c r="B2" s="76"/>
      <c r="C2" s="76"/>
      <c r="D2" s="76"/>
      <c r="E2" s="76"/>
      <c r="F2" s="76"/>
      <c r="G2" s="76"/>
      <c r="H2" s="76"/>
      <c r="I2" s="76"/>
      <c r="J2" s="76"/>
      <c r="K2" s="76"/>
      <c r="L2" s="76"/>
    </row>
    <row r="3" spans="1:12" ht="27" customHeight="1">
      <c r="A3" s="75" t="s">
        <v>27</v>
      </c>
      <c r="B3" s="75" t="s">
        <v>26</v>
      </c>
      <c r="C3" s="75"/>
      <c r="D3" s="75"/>
      <c r="E3" s="75"/>
      <c r="F3" s="75"/>
      <c r="G3" s="75"/>
      <c r="H3" s="75"/>
      <c r="I3" s="75"/>
      <c r="J3" s="75"/>
      <c r="K3" s="75"/>
      <c r="L3" s="75"/>
    </row>
    <row r="4" spans="1:12" ht="27" customHeight="1">
      <c r="A4" s="75"/>
      <c r="B4" s="59">
        <v>1383</v>
      </c>
      <c r="C4" s="59">
        <v>1384</v>
      </c>
      <c r="D4" s="59">
        <v>1385</v>
      </c>
      <c r="E4" s="59">
        <v>1386</v>
      </c>
      <c r="F4" s="59">
        <v>1387</v>
      </c>
      <c r="G4" s="59">
        <v>1388</v>
      </c>
      <c r="H4" s="59">
        <v>1389</v>
      </c>
      <c r="I4" s="59">
        <v>1390</v>
      </c>
      <c r="J4" s="59">
        <v>1391</v>
      </c>
      <c r="K4" s="59">
        <v>1392</v>
      </c>
      <c r="L4" s="59">
        <v>1393</v>
      </c>
    </row>
    <row r="5" spans="1:12" ht="27" customHeight="1">
      <c r="A5" s="38" t="s">
        <v>28</v>
      </c>
      <c r="B5" s="50">
        <f>SUM(B6:B36)</f>
        <v>22978</v>
      </c>
      <c r="C5" s="50">
        <f>SUM(C6:C36)</f>
        <v>22903</v>
      </c>
      <c r="D5" s="50">
        <f>SUM(D6:D36)</f>
        <v>23732</v>
      </c>
      <c r="E5" s="50">
        <v>25095</v>
      </c>
      <c r="F5" s="50">
        <v>25397</v>
      </c>
      <c r="G5" s="50">
        <f>SUM(G6:G36)</f>
        <v>25699</v>
      </c>
      <c r="H5" s="50">
        <v>26302</v>
      </c>
      <c r="I5" s="50">
        <v>27477</v>
      </c>
      <c r="J5" s="50">
        <v>27691</v>
      </c>
      <c r="K5" s="50">
        <v>29296</v>
      </c>
      <c r="L5" s="50">
        <v>29654</v>
      </c>
    </row>
    <row r="6" spans="1:12" ht="27" customHeight="1">
      <c r="A6" s="38" t="s">
        <v>0</v>
      </c>
      <c r="B6" s="50">
        <v>1241</v>
      </c>
      <c r="C6" s="50">
        <v>1227</v>
      </c>
      <c r="D6" s="50">
        <v>1240</v>
      </c>
      <c r="E6" s="50">
        <v>1260</v>
      </c>
      <c r="F6" s="50">
        <v>1291</v>
      </c>
      <c r="G6" s="50">
        <v>1271</v>
      </c>
      <c r="H6" s="50">
        <v>1279</v>
      </c>
      <c r="I6" s="50">
        <v>1349</v>
      </c>
      <c r="J6" s="50">
        <v>1521</v>
      </c>
      <c r="K6" s="50">
        <v>1639</v>
      </c>
      <c r="L6" s="50">
        <v>1675</v>
      </c>
    </row>
    <row r="7" spans="1:12" ht="27" customHeight="1">
      <c r="A7" s="38" t="s">
        <v>1</v>
      </c>
      <c r="B7" s="50">
        <v>547</v>
      </c>
      <c r="C7" s="50">
        <v>572</v>
      </c>
      <c r="D7" s="50">
        <v>582</v>
      </c>
      <c r="E7" s="50">
        <v>552</v>
      </c>
      <c r="F7" s="50">
        <v>610</v>
      </c>
      <c r="G7" s="50">
        <v>637</v>
      </c>
      <c r="H7" s="50">
        <v>682</v>
      </c>
      <c r="I7" s="50">
        <v>723</v>
      </c>
      <c r="J7" s="50">
        <v>687</v>
      </c>
      <c r="K7" s="50">
        <v>695</v>
      </c>
      <c r="L7" s="50">
        <v>707</v>
      </c>
    </row>
    <row r="8" spans="1:12" ht="27" customHeight="1">
      <c r="A8" s="38" t="s">
        <v>2</v>
      </c>
      <c r="B8" s="50">
        <v>180</v>
      </c>
      <c r="C8" s="50">
        <v>182</v>
      </c>
      <c r="D8" s="50">
        <v>205</v>
      </c>
      <c r="E8" s="50">
        <v>313</v>
      </c>
      <c r="F8" s="50">
        <v>381</v>
      </c>
      <c r="G8" s="50">
        <v>330</v>
      </c>
      <c r="H8" s="50">
        <v>276</v>
      </c>
      <c r="I8" s="50">
        <v>249</v>
      </c>
      <c r="J8" s="50">
        <v>226</v>
      </c>
      <c r="K8" s="50">
        <v>256</v>
      </c>
      <c r="L8" s="50">
        <v>237</v>
      </c>
    </row>
    <row r="9" spans="1:12" ht="27" customHeight="1">
      <c r="A9" s="38" t="s">
        <v>3</v>
      </c>
      <c r="B9" s="50">
        <v>3207</v>
      </c>
      <c r="C9" s="50">
        <v>3268</v>
      </c>
      <c r="D9" s="50">
        <v>3235</v>
      </c>
      <c r="E9" s="50">
        <v>3196</v>
      </c>
      <c r="F9" s="50">
        <v>3132</v>
      </c>
      <c r="G9" s="50">
        <v>3181</v>
      </c>
      <c r="H9" s="50">
        <v>3295</v>
      </c>
      <c r="I9" s="50">
        <v>3411</v>
      </c>
      <c r="J9" s="50">
        <v>3362</v>
      </c>
      <c r="K9" s="50">
        <v>3493</v>
      </c>
      <c r="L9" s="50">
        <v>3462</v>
      </c>
    </row>
    <row r="10" spans="1:12" ht="27" customHeight="1">
      <c r="A10" s="38" t="s">
        <v>4</v>
      </c>
      <c r="B10" s="50">
        <v>1153</v>
      </c>
      <c r="C10" s="50">
        <v>1135</v>
      </c>
      <c r="D10" s="50">
        <v>1217</v>
      </c>
      <c r="E10" s="50">
        <v>1291</v>
      </c>
      <c r="F10" s="50">
        <v>1307</v>
      </c>
      <c r="G10" s="50">
        <v>1341</v>
      </c>
      <c r="H10" s="50">
        <v>1234</v>
      </c>
      <c r="I10" s="50">
        <v>1273</v>
      </c>
      <c r="J10" s="50">
        <v>1231</v>
      </c>
      <c r="K10" s="50">
        <v>1360</v>
      </c>
      <c r="L10" s="50">
        <v>1418</v>
      </c>
    </row>
    <row r="11" spans="1:12" ht="27" customHeight="1">
      <c r="A11" s="38" t="s">
        <v>5</v>
      </c>
      <c r="B11" s="50">
        <v>43</v>
      </c>
      <c r="C11" s="50">
        <v>47</v>
      </c>
      <c r="D11" s="50">
        <v>53</v>
      </c>
      <c r="E11" s="50">
        <v>68</v>
      </c>
      <c r="F11" s="50">
        <v>79</v>
      </c>
      <c r="G11" s="50">
        <v>86</v>
      </c>
      <c r="H11" s="50">
        <v>91</v>
      </c>
      <c r="I11" s="50">
        <v>91</v>
      </c>
      <c r="J11" s="50">
        <v>82</v>
      </c>
      <c r="K11" s="50">
        <v>77</v>
      </c>
      <c r="L11" s="50">
        <v>80</v>
      </c>
    </row>
    <row r="12" spans="1:12" ht="27" customHeight="1">
      <c r="A12" s="38" t="s">
        <v>6</v>
      </c>
      <c r="B12" s="50">
        <v>90</v>
      </c>
      <c r="C12" s="50">
        <v>92</v>
      </c>
      <c r="D12" s="50">
        <v>98</v>
      </c>
      <c r="E12" s="50">
        <v>121</v>
      </c>
      <c r="F12" s="50">
        <v>152</v>
      </c>
      <c r="G12" s="50">
        <v>159</v>
      </c>
      <c r="H12" s="50">
        <v>156</v>
      </c>
      <c r="I12" s="50">
        <v>170</v>
      </c>
      <c r="J12" s="50">
        <v>169</v>
      </c>
      <c r="K12" s="50">
        <v>171</v>
      </c>
      <c r="L12" s="50">
        <v>170</v>
      </c>
    </row>
    <row r="13" spans="1:12" ht="27" customHeight="1">
      <c r="A13" s="38" t="s">
        <v>7</v>
      </c>
      <c r="B13" s="50">
        <v>6243</v>
      </c>
      <c r="C13" s="50">
        <v>6065</v>
      </c>
      <c r="D13" s="50">
        <v>6305</v>
      </c>
      <c r="E13" s="50">
        <v>6147</v>
      </c>
      <c r="F13" s="50">
        <v>5957</v>
      </c>
      <c r="G13" s="50">
        <v>6105</v>
      </c>
      <c r="H13" s="50">
        <v>6102</v>
      </c>
      <c r="I13" s="50">
        <v>6380</v>
      </c>
      <c r="J13" s="50">
        <v>6218</v>
      </c>
      <c r="K13" s="50">
        <v>6492</v>
      </c>
      <c r="L13" s="50">
        <v>6722</v>
      </c>
    </row>
    <row r="14" spans="1:12" ht="27" customHeight="1">
      <c r="A14" s="38" t="s">
        <v>64</v>
      </c>
      <c r="B14" s="50">
        <v>158</v>
      </c>
      <c r="C14" s="50">
        <v>167</v>
      </c>
      <c r="D14" s="50">
        <v>159</v>
      </c>
      <c r="E14" s="50">
        <v>251</v>
      </c>
      <c r="F14" s="50">
        <v>265</v>
      </c>
      <c r="G14" s="50">
        <v>269</v>
      </c>
      <c r="H14" s="50">
        <v>285</v>
      </c>
      <c r="I14" s="50">
        <v>326</v>
      </c>
      <c r="J14" s="50">
        <v>327</v>
      </c>
      <c r="K14" s="50">
        <v>337</v>
      </c>
      <c r="L14" s="50">
        <v>352</v>
      </c>
    </row>
    <row r="15" spans="1:12" ht="27" customHeight="1">
      <c r="A15" s="38" t="s">
        <v>8</v>
      </c>
      <c r="B15" s="50">
        <v>77</v>
      </c>
      <c r="C15" s="50">
        <v>89</v>
      </c>
      <c r="D15" s="50">
        <v>95</v>
      </c>
      <c r="E15" s="50">
        <v>108</v>
      </c>
      <c r="F15" s="50">
        <v>152</v>
      </c>
      <c r="G15" s="50">
        <v>158</v>
      </c>
      <c r="H15" s="50">
        <v>148</v>
      </c>
      <c r="I15" s="50">
        <v>152</v>
      </c>
      <c r="J15" s="50">
        <v>148</v>
      </c>
      <c r="K15" s="50">
        <v>141</v>
      </c>
      <c r="L15" s="50">
        <v>151</v>
      </c>
    </row>
    <row r="16" spans="1:12" ht="27" customHeight="1">
      <c r="A16" s="38" t="s">
        <v>29</v>
      </c>
      <c r="B16" s="50">
        <v>1565</v>
      </c>
      <c r="C16" s="50">
        <v>1580</v>
      </c>
      <c r="D16" s="50">
        <v>1826</v>
      </c>
      <c r="E16" s="50">
        <v>1733</v>
      </c>
      <c r="F16" s="50">
        <v>1763</v>
      </c>
      <c r="G16" s="50">
        <v>1812</v>
      </c>
      <c r="H16" s="50">
        <v>1930</v>
      </c>
      <c r="I16" s="50">
        <v>1973</v>
      </c>
      <c r="J16" s="50">
        <v>1983</v>
      </c>
      <c r="K16" s="50">
        <v>2068</v>
      </c>
      <c r="L16" s="50">
        <v>2170</v>
      </c>
    </row>
    <row r="17" spans="1:12" ht="27" customHeight="1">
      <c r="A17" s="38" t="s">
        <v>9</v>
      </c>
      <c r="B17" s="50">
        <v>96</v>
      </c>
      <c r="C17" s="50">
        <v>100</v>
      </c>
      <c r="D17" s="50">
        <v>91</v>
      </c>
      <c r="E17" s="50">
        <v>102</v>
      </c>
      <c r="F17" s="50">
        <v>114</v>
      </c>
      <c r="G17" s="50">
        <v>116</v>
      </c>
      <c r="H17" s="50">
        <v>128</v>
      </c>
      <c r="I17" s="50">
        <v>143</v>
      </c>
      <c r="J17" s="50">
        <v>121</v>
      </c>
      <c r="K17" s="50">
        <v>158</v>
      </c>
      <c r="L17" s="50">
        <v>151</v>
      </c>
    </row>
    <row r="18" spans="1:12" ht="27" customHeight="1">
      <c r="A18" s="38" t="s">
        <v>10</v>
      </c>
      <c r="B18" s="50">
        <v>431</v>
      </c>
      <c r="C18" s="50">
        <v>436</v>
      </c>
      <c r="D18" s="50">
        <v>441</v>
      </c>
      <c r="E18" s="50">
        <v>624</v>
      </c>
      <c r="F18" s="50">
        <v>643</v>
      </c>
      <c r="G18" s="50">
        <v>608</v>
      </c>
      <c r="H18" s="50">
        <v>625</v>
      </c>
      <c r="I18" s="50">
        <v>662</v>
      </c>
      <c r="J18" s="50">
        <v>608</v>
      </c>
      <c r="K18" s="50">
        <v>628</v>
      </c>
      <c r="L18" s="50">
        <v>645</v>
      </c>
    </row>
    <row r="19" spans="1:12" ht="27" customHeight="1">
      <c r="A19" s="38" t="s">
        <v>11</v>
      </c>
      <c r="B19" s="50">
        <v>251</v>
      </c>
      <c r="C19" s="50">
        <v>264</v>
      </c>
      <c r="D19" s="50">
        <v>236</v>
      </c>
      <c r="E19" s="50">
        <v>271</v>
      </c>
      <c r="F19" s="50">
        <v>300</v>
      </c>
      <c r="G19" s="50">
        <v>302</v>
      </c>
      <c r="H19" s="50">
        <v>346</v>
      </c>
      <c r="I19" s="50">
        <v>371</v>
      </c>
      <c r="J19" s="50">
        <v>369</v>
      </c>
      <c r="K19" s="50">
        <v>394</v>
      </c>
      <c r="L19" s="50">
        <v>413</v>
      </c>
    </row>
    <row r="20" spans="1:12" ht="27" customHeight="1">
      <c r="A20" s="38" t="s">
        <v>12</v>
      </c>
      <c r="B20" s="50">
        <v>697</v>
      </c>
      <c r="C20" s="50">
        <v>839</v>
      </c>
      <c r="D20" s="50">
        <v>874</v>
      </c>
      <c r="E20" s="50">
        <v>1113</v>
      </c>
      <c r="F20" s="50">
        <v>1115</v>
      </c>
      <c r="G20" s="50">
        <v>1122</v>
      </c>
      <c r="H20" s="50">
        <v>1102</v>
      </c>
      <c r="I20" s="50">
        <v>1027</v>
      </c>
      <c r="J20" s="50">
        <v>1020</v>
      </c>
      <c r="K20" s="50">
        <v>1045</v>
      </c>
      <c r="L20" s="50">
        <v>975</v>
      </c>
    </row>
    <row r="21" spans="1:12" ht="27" customHeight="1">
      <c r="A21" s="38" t="s">
        <v>30</v>
      </c>
      <c r="B21" s="50">
        <v>191</v>
      </c>
      <c r="C21" s="50">
        <v>201</v>
      </c>
      <c r="D21" s="50">
        <v>199</v>
      </c>
      <c r="E21" s="50">
        <v>201</v>
      </c>
      <c r="F21" s="50">
        <v>201</v>
      </c>
      <c r="G21" s="50">
        <v>211</v>
      </c>
      <c r="H21" s="50">
        <v>239</v>
      </c>
      <c r="I21" s="50">
        <v>249</v>
      </c>
      <c r="J21" s="50">
        <v>257</v>
      </c>
      <c r="K21" s="50">
        <v>267</v>
      </c>
      <c r="L21" s="50">
        <v>292</v>
      </c>
    </row>
    <row r="22" spans="1:12" ht="27" customHeight="1">
      <c r="A22" s="38" t="s">
        <v>13</v>
      </c>
      <c r="B22" s="50">
        <v>896</v>
      </c>
      <c r="C22" s="50">
        <v>814</v>
      </c>
      <c r="D22" s="50">
        <v>744</v>
      </c>
      <c r="E22" s="50">
        <v>949</v>
      </c>
      <c r="F22" s="50">
        <v>969</v>
      </c>
      <c r="G22" s="50">
        <v>965</v>
      </c>
      <c r="H22" s="50">
        <v>994</v>
      </c>
      <c r="I22" s="50">
        <v>1008</v>
      </c>
      <c r="J22" s="50">
        <v>1019</v>
      </c>
      <c r="K22" s="50">
        <v>1013</v>
      </c>
      <c r="L22" s="50">
        <v>1017</v>
      </c>
    </row>
    <row r="23" spans="1:12" ht="27" customHeight="1">
      <c r="A23" s="38" t="s">
        <v>14</v>
      </c>
      <c r="B23" s="50">
        <v>795</v>
      </c>
      <c r="C23" s="50">
        <v>771</v>
      </c>
      <c r="D23" s="50">
        <v>753</v>
      </c>
      <c r="E23" s="50">
        <v>936</v>
      </c>
      <c r="F23" s="50">
        <v>1004</v>
      </c>
      <c r="G23" s="50">
        <v>1080</v>
      </c>
      <c r="H23" s="50">
        <v>1082</v>
      </c>
      <c r="I23" s="50">
        <v>1137</v>
      </c>
      <c r="J23" s="50">
        <v>1151</v>
      </c>
      <c r="K23" s="50">
        <v>1241</v>
      </c>
      <c r="L23" s="50">
        <v>1199</v>
      </c>
    </row>
    <row r="24" spans="1:12" ht="27" customHeight="1">
      <c r="A24" s="38" t="s">
        <v>15</v>
      </c>
      <c r="B24" s="50">
        <v>585</v>
      </c>
      <c r="C24" s="50">
        <v>494</v>
      </c>
      <c r="D24" s="50">
        <v>643</v>
      </c>
      <c r="E24" s="50">
        <v>693</v>
      </c>
      <c r="F24" s="50">
        <v>657</v>
      </c>
      <c r="G24" s="50">
        <v>613</v>
      </c>
      <c r="H24" s="50">
        <v>581</v>
      </c>
      <c r="I24" s="50">
        <v>682</v>
      </c>
      <c r="J24" s="50">
        <v>661</v>
      </c>
      <c r="K24" s="50">
        <v>718</v>
      </c>
      <c r="L24" s="50">
        <v>743</v>
      </c>
    </row>
    <row r="25" spans="1:12" ht="27" customHeight="1">
      <c r="A25" s="38" t="s">
        <v>16</v>
      </c>
      <c r="B25" s="50">
        <v>166</v>
      </c>
      <c r="C25" s="50">
        <v>234</v>
      </c>
      <c r="D25" s="50">
        <v>238</v>
      </c>
      <c r="E25" s="50">
        <v>232</v>
      </c>
      <c r="F25" s="50">
        <v>216</v>
      </c>
      <c r="G25" s="50">
        <v>197</v>
      </c>
      <c r="H25" s="50">
        <v>221</v>
      </c>
      <c r="I25" s="50">
        <v>209</v>
      </c>
      <c r="J25" s="50">
        <v>203</v>
      </c>
      <c r="K25" s="50">
        <v>219</v>
      </c>
      <c r="L25" s="50">
        <v>241</v>
      </c>
    </row>
    <row r="26" spans="1:12" ht="27" customHeight="1">
      <c r="A26" s="38" t="s">
        <v>17</v>
      </c>
      <c r="B26" s="50">
        <v>184</v>
      </c>
      <c r="C26" s="50">
        <v>186</v>
      </c>
      <c r="D26" s="50">
        <v>235</v>
      </c>
      <c r="E26" s="50">
        <v>249</v>
      </c>
      <c r="F26" s="50">
        <v>260</v>
      </c>
      <c r="G26" s="50">
        <v>277</v>
      </c>
      <c r="H26" s="50">
        <v>298</v>
      </c>
      <c r="I26" s="50">
        <v>318</v>
      </c>
      <c r="J26" s="50">
        <v>652</v>
      </c>
      <c r="K26" s="50">
        <v>1029</v>
      </c>
      <c r="L26" s="50">
        <v>949</v>
      </c>
    </row>
    <row r="27" spans="1:12" ht="27" customHeight="1">
      <c r="A27" s="38" t="s">
        <v>18</v>
      </c>
      <c r="B27" s="50">
        <v>290</v>
      </c>
      <c r="C27" s="50">
        <v>255</v>
      </c>
      <c r="D27" s="50">
        <v>291</v>
      </c>
      <c r="E27" s="50">
        <v>321</v>
      </c>
      <c r="F27" s="50">
        <v>333</v>
      </c>
      <c r="G27" s="50">
        <v>312</v>
      </c>
      <c r="H27" s="50">
        <v>306</v>
      </c>
      <c r="I27" s="50">
        <v>315</v>
      </c>
      <c r="J27" s="50">
        <v>323</v>
      </c>
      <c r="K27" s="50">
        <v>318</v>
      </c>
      <c r="L27" s="50">
        <v>295</v>
      </c>
    </row>
    <row r="28" spans="1:12" ht="27" customHeight="1">
      <c r="A28" s="38" t="s">
        <v>31</v>
      </c>
      <c r="B28" s="50">
        <v>43</v>
      </c>
      <c r="C28" s="50">
        <v>39</v>
      </c>
      <c r="D28" s="50">
        <v>41</v>
      </c>
      <c r="E28" s="50">
        <v>55</v>
      </c>
      <c r="F28" s="50">
        <v>53</v>
      </c>
      <c r="G28" s="50">
        <v>61</v>
      </c>
      <c r="H28" s="50">
        <v>77</v>
      </c>
      <c r="I28" s="50">
        <v>77</v>
      </c>
      <c r="J28" s="50">
        <v>58</v>
      </c>
      <c r="K28" s="50">
        <v>64</v>
      </c>
      <c r="L28" s="50">
        <v>64</v>
      </c>
    </row>
    <row r="29" spans="1:12" ht="27" customHeight="1">
      <c r="A29" s="38" t="s">
        <v>19</v>
      </c>
      <c r="B29" s="50">
        <v>269</v>
      </c>
      <c r="C29" s="50">
        <v>262</v>
      </c>
      <c r="D29" s="50">
        <v>270</v>
      </c>
      <c r="E29" s="50">
        <v>286</v>
      </c>
      <c r="F29" s="50">
        <v>300</v>
      </c>
      <c r="G29" s="50">
        <v>297</v>
      </c>
      <c r="H29" s="50">
        <v>309</v>
      </c>
      <c r="I29" s="50">
        <v>430</v>
      </c>
      <c r="J29" s="50">
        <v>406</v>
      </c>
      <c r="K29" s="50">
        <v>430</v>
      </c>
      <c r="L29" s="50">
        <v>417</v>
      </c>
    </row>
    <row r="30" spans="1:12" ht="27" customHeight="1">
      <c r="A30" s="38" t="s">
        <v>20</v>
      </c>
      <c r="B30" s="50">
        <v>678</v>
      </c>
      <c r="C30" s="50">
        <v>670</v>
      </c>
      <c r="D30" s="50">
        <v>692</v>
      </c>
      <c r="E30" s="50">
        <v>665</v>
      </c>
      <c r="F30" s="50">
        <v>665</v>
      </c>
      <c r="G30" s="50">
        <v>666</v>
      </c>
      <c r="H30" s="50">
        <v>681</v>
      </c>
      <c r="I30" s="50">
        <v>786</v>
      </c>
      <c r="J30" s="50">
        <v>836</v>
      </c>
      <c r="K30" s="50">
        <v>833</v>
      </c>
      <c r="L30" s="50">
        <v>817</v>
      </c>
    </row>
    <row r="31" spans="1:12" ht="27" customHeight="1">
      <c r="A31" s="38" t="s">
        <v>21</v>
      </c>
      <c r="B31" s="50">
        <v>198</v>
      </c>
      <c r="C31" s="50">
        <v>202</v>
      </c>
      <c r="D31" s="50">
        <v>190</v>
      </c>
      <c r="E31" s="50">
        <v>224</v>
      </c>
      <c r="F31" s="50">
        <v>225</v>
      </c>
      <c r="G31" s="50">
        <v>214</v>
      </c>
      <c r="H31" s="50">
        <v>343</v>
      </c>
      <c r="I31" s="50">
        <v>338</v>
      </c>
      <c r="J31" s="50">
        <v>312</v>
      </c>
      <c r="K31" s="50">
        <v>352</v>
      </c>
      <c r="L31" s="50">
        <v>352</v>
      </c>
    </row>
    <row r="32" spans="1:12" ht="27" customHeight="1">
      <c r="A32" s="38" t="s">
        <v>22</v>
      </c>
      <c r="B32" s="50">
        <v>691</v>
      </c>
      <c r="C32" s="50">
        <v>678</v>
      </c>
      <c r="D32" s="50">
        <v>740</v>
      </c>
      <c r="E32" s="50">
        <v>907</v>
      </c>
      <c r="F32" s="50">
        <v>942</v>
      </c>
      <c r="G32" s="50">
        <v>985</v>
      </c>
      <c r="H32" s="50">
        <v>1035</v>
      </c>
      <c r="I32" s="50">
        <v>1088</v>
      </c>
      <c r="J32" s="50">
        <v>1064</v>
      </c>
      <c r="K32" s="50">
        <v>1136</v>
      </c>
      <c r="L32" s="50">
        <v>1110</v>
      </c>
    </row>
    <row r="33" spans="1:12" ht="27" customHeight="1">
      <c r="A33" s="38" t="s">
        <v>32</v>
      </c>
      <c r="B33" s="50">
        <v>896</v>
      </c>
      <c r="C33" s="50">
        <v>912</v>
      </c>
      <c r="D33" s="50">
        <v>862</v>
      </c>
      <c r="E33" s="50">
        <v>874</v>
      </c>
      <c r="F33" s="50">
        <v>897</v>
      </c>
      <c r="G33" s="50">
        <v>907</v>
      </c>
      <c r="H33" s="50">
        <v>947</v>
      </c>
      <c r="I33" s="50">
        <v>948</v>
      </c>
      <c r="J33" s="50">
        <v>1065</v>
      </c>
      <c r="K33" s="50">
        <v>1023</v>
      </c>
      <c r="L33" s="50">
        <v>1102</v>
      </c>
    </row>
    <row r="34" spans="1:12" ht="27" customHeight="1">
      <c r="A34" s="38" t="s">
        <v>23</v>
      </c>
      <c r="B34" s="50">
        <v>149</v>
      </c>
      <c r="C34" s="50">
        <v>157</v>
      </c>
      <c r="D34" s="50">
        <v>172</v>
      </c>
      <c r="E34" s="50">
        <v>254</v>
      </c>
      <c r="F34" s="50">
        <v>270</v>
      </c>
      <c r="G34" s="50">
        <v>247</v>
      </c>
      <c r="H34" s="50">
        <v>282</v>
      </c>
      <c r="I34" s="50">
        <v>275</v>
      </c>
      <c r="J34" s="50">
        <v>249</v>
      </c>
      <c r="K34" s="50">
        <v>272</v>
      </c>
      <c r="L34" s="50">
        <v>258</v>
      </c>
    </row>
    <row r="35" spans="1:12" ht="27" customHeight="1">
      <c r="A35" s="38" t="s">
        <v>24</v>
      </c>
      <c r="B35" s="50">
        <v>364</v>
      </c>
      <c r="C35" s="50">
        <v>372</v>
      </c>
      <c r="D35" s="50">
        <v>386</v>
      </c>
      <c r="E35" s="50">
        <v>450</v>
      </c>
      <c r="F35" s="50">
        <v>474</v>
      </c>
      <c r="G35" s="50">
        <v>482</v>
      </c>
      <c r="H35" s="50">
        <v>496</v>
      </c>
      <c r="I35" s="50">
        <v>533</v>
      </c>
      <c r="J35" s="50">
        <v>508</v>
      </c>
      <c r="K35" s="50">
        <v>524</v>
      </c>
      <c r="L35" s="50">
        <v>524</v>
      </c>
    </row>
    <row r="36" spans="1:12" ht="27" customHeight="1" thickBot="1">
      <c r="A36" s="39" t="s">
        <v>25</v>
      </c>
      <c r="B36" s="52">
        <v>604</v>
      </c>
      <c r="C36" s="52">
        <v>593</v>
      </c>
      <c r="D36" s="52">
        <v>619</v>
      </c>
      <c r="E36" s="52">
        <v>648</v>
      </c>
      <c r="F36" s="52">
        <v>672</v>
      </c>
      <c r="G36" s="52">
        <v>688</v>
      </c>
      <c r="H36" s="52">
        <v>734</v>
      </c>
      <c r="I36" s="52">
        <v>788</v>
      </c>
      <c r="J36" s="52">
        <v>855</v>
      </c>
      <c r="K36" s="52">
        <v>902</v>
      </c>
      <c r="L36" s="52">
        <v>945</v>
      </c>
    </row>
  </sheetData>
  <mergeCells count="3">
    <mergeCell ref="A3:A4"/>
    <mergeCell ref="A2:L2"/>
    <mergeCell ref="B3:L3"/>
  </mergeCells>
  <pageMargins left="0.75" right="0.75" top="1" bottom="1" header="0.5" footer="0.5"/>
  <pageSetup paperSize="9" orientation="portrait"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75AC-B410-414F-B1C1-C6E0AB727BF0}">
  <dimension ref="A1:M33"/>
  <sheetViews>
    <sheetView rightToLeft="1" workbookViewId="0">
      <selection activeCell="A16" sqref="A16:IV17"/>
    </sheetView>
  </sheetViews>
  <sheetFormatPr defaultRowHeight="27" customHeight="1"/>
  <cols>
    <col min="1" max="1" width="15.28515625" style="27" customWidth="1"/>
    <col min="2" max="2" width="52.7109375" style="27" customWidth="1"/>
    <col min="3" max="4" width="19" style="27" customWidth="1"/>
    <col min="5" max="6" width="19" style="36" customWidth="1"/>
    <col min="7" max="7" width="16.85546875" style="36" customWidth="1"/>
    <col min="8" max="9" width="19.7109375" style="27" customWidth="1"/>
    <col min="10" max="10" width="16.28515625" style="27" customWidth="1"/>
    <col min="11" max="11" width="18.7109375" style="27" customWidth="1"/>
    <col min="12" max="12" width="15.5703125" style="27" customWidth="1"/>
    <col min="13" max="13" width="16.85546875" style="27" customWidth="1"/>
    <col min="14" max="16384" width="9.140625" style="27"/>
  </cols>
  <sheetData>
    <row r="1" spans="1:13" ht="27" customHeight="1">
      <c r="A1" s="37" t="s">
        <v>96</v>
      </c>
    </row>
    <row r="2" spans="1:13" ht="27" customHeight="1" thickBot="1">
      <c r="A2" s="81" t="s">
        <v>100</v>
      </c>
      <c r="B2" s="81"/>
      <c r="C2" s="76"/>
      <c r="D2" s="76"/>
      <c r="E2" s="76"/>
      <c r="F2" s="26"/>
      <c r="H2" s="36"/>
      <c r="I2" s="36"/>
    </row>
    <row r="3" spans="1:13" ht="27" customHeight="1">
      <c r="A3" s="79" t="s">
        <v>34</v>
      </c>
      <c r="B3" s="77" t="s">
        <v>35</v>
      </c>
      <c r="C3" s="82" t="s">
        <v>47</v>
      </c>
      <c r="D3" s="82"/>
      <c r="E3" s="82"/>
      <c r="F3" s="82"/>
      <c r="G3" s="82"/>
      <c r="H3" s="82"/>
      <c r="I3" s="82"/>
      <c r="J3" s="82"/>
      <c r="K3" s="82"/>
      <c r="L3" s="82"/>
      <c r="M3" s="82"/>
    </row>
    <row r="4" spans="1:13" ht="27" customHeight="1">
      <c r="A4" s="80"/>
      <c r="B4" s="78"/>
      <c r="C4" s="59">
        <v>1383</v>
      </c>
      <c r="D4" s="59">
        <v>1384</v>
      </c>
      <c r="E4" s="59">
        <v>1385</v>
      </c>
      <c r="F4" s="59">
        <v>1386</v>
      </c>
      <c r="G4" s="59">
        <v>1387</v>
      </c>
      <c r="H4" s="59">
        <v>1388</v>
      </c>
      <c r="I4" s="59">
        <v>1389</v>
      </c>
      <c r="J4" s="61">
        <v>1390</v>
      </c>
      <c r="K4" s="61">
        <v>1391</v>
      </c>
      <c r="L4" s="61">
        <v>1392</v>
      </c>
      <c r="M4" s="61">
        <v>1393</v>
      </c>
    </row>
    <row r="5" spans="1:13" ht="27" customHeight="1">
      <c r="A5" s="41"/>
      <c r="B5" s="32" t="s">
        <v>66</v>
      </c>
      <c r="C5" s="42">
        <f>SUM(C6:C29)</f>
        <v>1081248740.1662798</v>
      </c>
      <c r="D5" s="42">
        <f t="shared" ref="D5:M5" si="0">SUM(D6:D29)</f>
        <v>1068288043.9292501</v>
      </c>
      <c r="E5" s="42">
        <f t="shared" si="0"/>
        <v>1117474217.6318698</v>
      </c>
      <c r="F5" s="42">
        <f t="shared" si="0"/>
        <v>1159955400.7128</v>
      </c>
      <c r="G5" s="42">
        <f t="shared" si="0"/>
        <v>1152266425.6690502</v>
      </c>
      <c r="H5" s="42">
        <f t="shared" si="0"/>
        <v>1143817810.3699598</v>
      </c>
      <c r="I5" s="42">
        <f t="shared" si="0"/>
        <v>1124224969.7917502</v>
      </c>
      <c r="J5" s="42">
        <f t="shared" si="0"/>
        <v>1164430470.7955103</v>
      </c>
      <c r="K5" s="42">
        <f t="shared" si="0"/>
        <v>1155597649.3853402</v>
      </c>
      <c r="L5" s="42">
        <f t="shared" si="0"/>
        <v>1160020761.7456298</v>
      </c>
      <c r="M5" s="67">
        <f t="shared" si="0"/>
        <v>1093194411.6769326</v>
      </c>
    </row>
    <row r="6" spans="1:13" ht="27" customHeight="1">
      <c r="A6" s="33">
        <v>10</v>
      </c>
      <c r="B6" s="32" t="s">
        <v>37</v>
      </c>
      <c r="C6" s="42">
        <v>162912374.91999999</v>
      </c>
      <c r="D6" s="42">
        <v>160518716.40000001</v>
      </c>
      <c r="E6" s="42">
        <v>158093545.36000001</v>
      </c>
      <c r="F6" s="43">
        <v>163138908</v>
      </c>
      <c r="G6" s="43">
        <v>167116525.41999999</v>
      </c>
      <c r="H6" s="43">
        <v>169851686.03999999</v>
      </c>
      <c r="I6" s="43">
        <v>151470659.03</v>
      </c>
      <c r="J6" s="43">
        <v>168624186.72999999</v>
      </c>
      <c r="K6" s="43">
        <v>168445781.84</v>
      </c>
      <c r="L6" s="43">
        <v>166801417.59</v>
      </c>
      <c r="M6" s="67">
        <v>173759139.74573228</v>
      </c>
    </row>
    <row r="7" spans="1:13" ht="27" customHeight="1">
      <c r="A7" s="33">
        <v>11</v>
      </c>
      <c r="B7" s="32" t="s">
        <v>38</v>
      </c>
      <c r="C7" s="42">
        <v>21085934.982000001</v>
      </c>
      <c r="D7" s="42">
        <v>23728639.657000002</v>
      </c>
      <c r="E7" s="42">
        <v>24146675.467999998</v>
      </c>
      <c r="F7" s="43">
        <v>30111038.105999999</v>
      </c>
      <c r="G7" s="43">
        <v>30352373.427000001</v>
      </c>
      <c r="H7" s="43">
        <v>27774754.006999999</v>
      </c>
      <c r="I7" s="43">
        <v>25038816.421999998</v>
      </c>
      <c r="J7" s="43">
        <v>25719513.006000001</v>
      </c>
      <c r="K7" s="43">
        <v>24749891.438000001</v>
      </c>
      <c r="L7" s="43">
        <v>23912089</v>
      </c>
      <c r="M7" s="67">
        <v>24457986</v>
      </c>
    </row>
    <row r="8" spans="1:13" ht="27" customHeight="1">
      <c r="A8" s="33">
        <v>12</v>
      </c>
      <c r="B8" s="32" t="s">
        <v>39</v>
      </c>
      <c r="C8" s="42">
        <v>211427.29378000001</v>
      </c>
      <c r="D8" s="42">
        <v>206468</v>
      </c>
      <c r="E8" s="42">
        <v>213588.52327000001</v>
      </c>
      <c r="F8" s="43">
        <v>236125.2</v>
      </c>
      <c r="G8" s="43">
        <v>225559.21071000001</v>
      </c>
      <c r="H8" s="43">
        <v>244717</v>
      </c>
      <c r="I8" s="43">
        <v>221557.55238000001</v>
      </c>
      <c r="J8" s="43">
        <v>210322.22381</v>
      </c>
      <c r="K8" s="43">
        <v>244256</v>
      </c>
      <c r="L8" s="43">
        <v>216155.9</v>
      </c>
      <c r="M8" s="67">
        <v>216526</v>
      </c>
    </row>
    <row r="9" spans="1:13" ht="27" customHeight="1">
      <c r="A9" s="33">
        <v>13</v>
      </c>
      <c r="B9" s="32" t="s">
        <v>40</v>
      </c>
      <c r="C9" s="42">
        <v>22997854</v>
      </c>
      <c r="D9" s="42">
        <v>24998867</v>
      </c>
      <c r="E9" s="42">
        <v>25148018.081999999</v>
      </c>
      <c r="F9" s="43">
        <v>26269704.068</v>
      </c>
      <c r="G9" s="43">
        <v>25388366.105999999</v>
      </c>
      <c r="H9" s="43">
        <v>28373967.109999999</v>
      </c>
      <c r="I9" s="43">
        <v>24450410.999000002</v>
      </c>
      <c r="J9" s="43">
        <v>27664630.120999999</v>
      </c>
      <c r="K9" s="43">
        <v>25580594.951000001</v>
      </c>
      <c r="L9" s="43">
        <v>23217713.612</v>
      </c>
      <c r="M9" s="67">
        <v>25769726</v>
      </c>
    </row>
    <row r="10" spans="1:13" ht="27" customHeight="1">
      <c r="A10" s="33">
        <v>14</v>
      </c>
      <c r="B10" s="32" t="s">
        <v>41</v>
      </c>
      <c r="C10" s="42">
        <v>2066153</v>
      </c>
      <c r="D10" s="42">
        <v>2825716</v>
      </c>
      <c r="E10" s="42">
        <v>2701431.2622000002</v>
      </c>
      <c r="F10" s="43">
        <v>2037619.7423</v>
      </c>
      <c r="G10" s="43">
        <v>1736139.2692</v>
      </c>
      <c r="H10" s="43">
        <v>1939852.1092000001</v>
      </c>
      <c r="I10" s="43">
        <v>2145853.2359000002</v>
      </c>
      <c r="J10" s="43">
        <v>1631399.1768</v>
      </c>
      <c r="K10" s="43">
        <v>1614829.0299</v>
      </c>
      <c r="L10" s="43">
        <v>2503422.1422999999</v>
      </c>
      <c r="M10" s="67">
        <v>1819773</v>
      </c>
    </row>
    <row r="11" spans="1:13" ht="27" customHeight="1">
      <c r="A11" s="33">
        <v>15</v>
      </c>
      <c r="B11" s="32" t="s">
        <v>50</v>
      </c>
      <c r="C11" s="42">
        <v>4330539.5597000001</v>
      </c>
      <c r="D11" s="42">
        <v>4403206</v>
      </c>
      <c r="E11" s="42">
        <v>4679788.5</v>
      </c>
      <c r="F11" s="43">
        <v>4592544.2330999998</v>
      </c>
      <c r="G11" s="43">
        <v>3169511.5402000002</v>
      </c>
      <c r="H11" s="43">
        <v>3264086.5016000001</v>
      </c>
      <c r="I11" s="43">
        <v>3608904.4205</v>
      </c>
      <c r="J11" s="43">
        <v>3752754.5293000001</v>
      </c>
      <c r="K11" s="43">
        <v>4669483.6560000004</v>
      </c>
      <c r="L11" s="43">
        <v>3936673.5332999998</v>
      </c>
      <c r="M11" s="67">
        <v>3639089.6590582579</v>
      </c>
    </row>
    <row r="12" spans="1:13" ht="27" customHeight="1">
      <c r="A12" s="33">
        <v>16</v>
      </c>
      <c r="B12" s="32" t="s">
        <v>59</v>
      </c>
      <c r="C12" s="42">
        <v>3402198.3555999999</v>
      </c>
      <c r="D12" s="42">
        <v>3390412</v>
      </c>
      <c r="E12" s="42">
        <v>3203193.6049000002</v>
      </c>
      <c r="F12" s="43">
        <v>3484084</v>
      </c>
      <c r="G12" s="43">
        <v>3137113.0482999999</v>
      </c>
      <c r="H12" s="43">
        <v>5152075.0922999997</v>
      </c>
      <c r="I12" s="43">
        <v>4494470.4408999998</v>
      </c>
      <c r="J12" s="43">
        <v>4870176.9910000004</v>
      </c>
      <c r="K12" s="43">
        <v>4883289.4763000002</v>
      </c>
      <c r="L12" s="43">
        <v>4153261.3985000001</v>
      </c>
      <c r="M12" s="67">
        <v>3965480</v>
      </c>
    </row>
    <row r="13" spans="1:13" ht="27" customHeight="1">
      <c r="A13" s="33">
        <v>17</v>
      </c>
      <c r="B13" s="32" t="s">
        <v>51</v>
      </c>
      <c r="C13" s="42">
        <v>22412299.703000002</v>
      </c>
      <c r="D13" s="42">
        <v>23602253.379999999</v>
      </c>
      <c r="E13" s="42">
        <v>22957421.476</v>
      </c>
      <c r="F13" s="43">
        <v>26936315.331</v>
      </c>
      <c r="G13" s="43">
        <v>23295180.033</v>
      </c>
      <c r="H13" s="43">
        <v>26109800.912</v>
      </c>
      <c r="I13" s="43">
        <v>25409230.484999999</v>
      </c>
      <c r="J13" s="43">
        <v>24703912.225000001</v>
      </c>
      <c r="K13" s="43">
        <v>22749868.892000001</v>
      </c>
      <c r="L13" s="43">
        <v>25234776.774</v>
      </c>
      <c r="M13" s="67">
        <v>22279263</v>
      </c>
    </row>
    <row r="14" spans="1:13" ht="27" customHeight="1">
      <c r="A14" s="33">
        <v>18</v>
      </c>
      <c r="B14" s="32" t="s">
        <v>42</v>
      </c>
      <c r="C14" s="42">
        <v>2360086.0743999998</v>
      </c>
      <c r="D14" s="42">
        <v>3051492.0857000002</v>
      </c>
      <c r="E14" s="42">
        <v>2440525.5186999999</v>
      </c>
      <c r="F14" s="43">
        <v>2676243.3360000001</v>
      </c>
      <c r="G14" s="43">
        <v>2542847.7584000002</v>
      </c>
      <c r="H14" s="43">
        <v>2963874.7122999998</v>
      </c>
      <c r="I14" s="43">
        <v>2705921.3786999998</v>
      </c>
      <c r="J14" s="43">
        <v>3398957.7714999998</v>
      </c>
      <c r="K14" s="43">
        <v>3331747.9526</v>
      </c>
      <c r="L14" s="43">
        <v>3733594.5394000001</v>
      </c>
      <c r="M14" s="67">
        <v>2674725.2544174781</v>
      </c>
    </row>
    <row r="15" spans="1:13" ht="27" customHeight="1">
      <c r="A15" s="33">
        <v>19</v>
      </c>
      <c r="B15" s="32" t="s">
        <v>52</v>
      </c>
      <c r="C15" s="42">
        <v>169822567.12</v>
      </c>
      <c r="D15" s="42">
        <v>172850442.13</v>
      </c>
      <c r="E15" s="42">
        <v>177605643.28</v>
      </c>
      <c r="F15" s="43">
        <v>173332393.43000001</v>
      </c>
      <c r="G15" s="43">
        <v>176216386.88999999</v>
      </c>
      <c r="H15" s="43">
        <v>171474197.47</v>
      </c>
      <c r="I15" s="43">
        <v>170470561.88</v>
      </c>
      <c r="J15" s="43">
        <v>166866008.25999999</v>
      </c>
      <c r="K15" s="43">
        <v>175615978.25999999</v>
      </c>
      <c r="L15" s="43">
        <v>179220262.25999999</v>
      </c>
      <c r="M15" s="67">
        <v>179715896.84999999</v>
      </c>
    </row>
    <row r="16" spans="1:13" ht="27" customHeight="1">
      <c r="A16" s="33">
        <v>20</v>
      </c>
      <c r="B16" s="32" t="s">
        <v>60</v>
      </c>
      <c r="C16" s="42">
        <v>224105224.97</v>
      </c>
      <c r="D16" s="42">
        <v>196117597.37</v>
      </c>
      <c r="E16" s="42">
        <v>244000890.94</v>
      </c>
      <c r="F16" s="43">
        <v>280433206.68000001</v>
      </c>
      <c r="G16" s="43">
        <v>273173231.95999998</v>
      </c>
      <c r="H16" s="43">
        <v>257265815.75999999</v>
      </c>
      <c r="I16" s="43">
        <v>266553872.31</v>
      </c>
      <c r="J16" s="43">
        <v>278656098.82999998</v>
      </c>
      <c r="K16" s="43">
        <v>281152185.44999999</v>
      </c>
      <c r="L16" s="43">
        <v>282078889.19</v>
      </c>
      <c r="M16" s="67">
        <v>212019673.78999999</v>
      </c>
    </row>
    <row r="17" spans="1:13" ht="27" customHeight="1">
      <c r="A17" s="33">
        <v>21</v>
      </c>
      <c r="B17" s="32" t="s">
        <v>61</v>
      </c>
      <c r="C17" s="42">
        <v>12901788.925000001</v>
      </c>
      <c r="D17" s="42">
        <v>15025769.062999999</v>
      </c>
      <c r="E17" s="42">
        <v>11325972.196</v>
      </c>
      <c r="F17" s="43">
        <v>13443380.583000001</v>
      </c>
      <c r="G17" s="43">
        <v>12076290.228</v>
      </c>
      <c r="H17" s="43">
        <v>14435010.789000001</v>
      </c>
      <c r="I17" s="43">
        <v>11692326.571</v>
      </c>
      <c r="J17" s="43">
        <v>14570998.908</v>
      </c>
      <c r="K17" s="43">
        <v>13256751</v>
      </c>
      <c r="L17" s="43">
        <v>12392353.889</v>
      </c>
      <c r="M17" s="67">
        <v>10952997</v>
      </c>
    </row>
    <row r="18" spans="1:13" ht="27" customHeight="1">
      <c r="A18" s="33">
        <v>22</v>
      </c>
      <c r="B18" s="32" t="s">
        <v>62</v>
      </c>
      <c r="C18" s="42">
        <v>27272327.691</v>
      </c>
      <c r="D18" s="42">
        <v>27063651.088</v>
      </c>
      <c r="E18" s="42">
        <v>30373100.405999999</v>
      </c>
      <c r="F18" s="43">
        <v>34074639.564000003</v>
      </c>
      <c r="G18" s="43">
        <v>31590854.164000001</v>
      </c>
      <c r="H18" s="43">
        <v>29941688.23</v>
      </c>
      <c r="I18" s="43">
        <v>33053909.004999999</v>
      </c>
      <c r="J18" s="43">
        <v>34379591.038999997</v>
      </c>
      <c r="K18" s="43">
        <v>32916769.962000001</v>
      </c>
      <c r="L18" s="43">
        <v>35913921.414999999</v>
      </c>
      <c r="M18" s="67">
        <v>35936794</v>
      </c>
    </row>
    <row r="19" spans="1:13" ht="27" customHeight="1">
      <c r="A19" s="33">
        <v>23</v>
      </c>
      <c r="B19" s="32" t="s">
        <v>63</v>
      </c>
      <c r="C19" s="42">
        <v>123452365.73</v>
      </c>
      <c r="D19" s="42">
        <v>122227691.17</v>
      </c>
      <c r="E19" s="42">
        <v>128353717.31</v>
      </c>
      <c r="F19" s="43">
        <v>123507782.67</v>
      </c>
      <c r="G19" s="43">
        <v>127916790.31</v>
      </c>
      <c r="H19" s="43">
        <v>125338185.45999999</v>
      </c>
      <c r="I19" s="43">
        <v>129021060.18000001</v>
      </c>
      <c r="J19" s="43">
        <v>132083556.08</v>
      </c>
      <c r="K19" s="43">
        <v>126254596.38</v>
      </c>
      <c r="L19" s="43">
        <v>121951863.38</v>
      </c>
      <c r="M19" s="67">
        <v>133274207.14</v>
      </c>
    </row>
    <row r="20" spans="1:13" ht="27" customHeight="1">
      <c r="A20" s="33">
        <v>24</v>
      </c>
      <c r="B20" s="32" t="s">
        <v>43</v>
      </c>
      <c r="C20" s="42">
        <v>174221190.21000001</v>
      </c>
      <c r="D20" s="42">
        <v>177704713.46000001</v>
      </c>
      <c r="E20" s="42">
        <v>175253523.41</v>
      </c>
      <c r="F20" s="43">
        <v>170033750.13999999</v>
      </c>
      <c r="G20" s="43">
        <v>167562181.94</v>
      </c>
      <c r="H20" s="43">
        <v>172096063.78</v>
      </c>
      <c r="I20" s="43">
        <v>168294932.13999999</v>
      </c>
      <c r="J20" s="43">
        <v>173559412.02000001</v>
      </c>
      <c r="K20" s="43">
        <v>165116626.31</v>
      </c>
      <c r="L20" s="43">
        <v>171691825.43000001</v>
      </c>
      <c r="M20" s="67">
        <v>160780072.69072199</v>
      </c>
    </row>
    <row r="21" spans="1:13" ht="27" customHeight="1">
      <c r="A21" s="33">
        <v>25</v>
      </c>
      <c r="B21" s="32" t="s">
        <v>53</v>
      </c>
      <c r="C21" s="42">
        <v>35083682</v>
      </c>
      <c r="D21" s="42">
        <v>31736103.693999998</v>
      </c>
      <c r="E21" s="42">
        <v>30096338.274</v>
      </c>
      <c r="F21" s="43">
        <v>26229517.421999998</v>
      </c>
      <c r="G21" s="43">
        <v>30600994.98</v>
      </c>
      <c r="H21" s="43">
        <v>27759218.772</v>
      </c>
      <c r="I21" s="43">
        <v>28966811.624000002</v>
      </c>
      <c r="J21" s="43">
        <v>29688547.306000002</v>
      </c>
      <c r="K21" s="43">
        <v>29627833.243999999</v>
      </c>
      <c r="L21" s="43">
        <v>32216220.859999999</v>
      </c>
      <c r="M21" s="67">
        <v>32821142.435903501</v>
      </c>
    </row>
    <row r="22" spans="1:13" ht="27" customHeight="1">
      <c r="A22" s="33">
        <v>26</v>
      </c>
      <c r="B22" s="32" t="s">
        <v>54</v>
      </c>
      <c r="C22" s="42">
        <v>2941906.4665000001</v>
      </c>
      <c r="D22" s="42">
        <v>2673497.9585000002</v>
      </c>
      <c r="E22" s="42">
        <v>4245057.7207000004</v>
      </c>
      <c r="F22" s="43">
        <v>3478790.5506000002</v>
      </c>
      <c r="G22" s="43">
        <v>3079617.7812000001</v>
      </c>
      <c r="H22" s="43">
        <v>3601310.9914000002</v>
      </c>
      <c r="I22" s="43">
        <v>2937273.5082999999</v>
      </c>
      <c r="J22" s="43">
        <v>3239771.0055999998</v>
      </c>
      <c r="K22" s="43">
        <v>3236206.0578000001</v>
      </c>
      <c r="L22" s="43">
        <v>2286451.0858999998</v>
      </c>
      <c r="M22" s="67">
        <v>2448057.2323251399</v>
      </c>
    </row>
    <row r="23" spans="1:13" ht="27" customHeight="1">
      <c r="A23" s="33">
        <v>27</v>
      </c>
      <c r="B23" s="32" t="s">
        <v>44</v>
      </c>
      <c r="C23" s="42">
        <v>15145290.318</v>
      </c>
      <c r="D23" s="42">
        <v>13697869</v>
      </c>
      <c r="E23" s="42">
        <v>13071004.843</v>
      </c>
      <c r="F23" s="43">
        <v>16256192.267999999</v>
      </c>
      <c r="G23" s="43">
        <v>14073640.66</v>
      </c>
      <c r="H23" s="43">
        <v>17109930.528999999</v>
      </c>
      <c r="I23" s="43">
        <v>15012327.187000001</v>
      </c>
      <c r="J23" s="43">
        <v>13390916.094000001</v>
      </c>
      <c r="K23" s="43">
        <v>13682120.548</v>
      </c>
      <c r="L23" s="43">
        <v>13323252.555</v>
      </c>
      <c r="M23" s="67">
        <v>14121808</v>
      </c>
    </row>
    <row r="24" spans="1:13" ht="27" customHeight="1">
      <c r="A24" s="33">
        <v>28</v>
      </c>
      <c r="B24" s="32" t="s">
        <v>55</v>
      </c>
      <c r="C24" s="42">
        <v>13856265</v>
      </c>
      <c r="D24" s="42">
        <v>17934901</v>
      </c>
      <c r="E24" s="42">
        <v>20329973.855999999</v>
      </c>
      <c r="F24" s="43">
        <v>19865472.879000001</v>
      </c>
      <c r="G24" s="43">
        <v>19078914.063999999</v>
      </c>
      <c r="H24" s="43">
        <v>17350509.089000002</v>
      </c>
      <c r="I24" s="43">
        <v>16065882.748</v>
      </c>
      <c r="J24" s="43">
        <v>15244208.978</v>
      </c>
      <c r="K24" s="43">
        <v>15258472.414999999</v>
      </c>
      <c r="L24" s="43">
        <v>14472903.297</v>
      </c>
      <c r="M24" s="67">
        <v>13735504.066580065</v>
      </c>
    </row>
    <row r="25" spans="1:13" ht="27" customHeight="1">
      <c r="A25" s="33">
        <v>29</v>
      </c>
      <c r="B25" s="32" t="s">
        <v>56</v>
      </c>
      <c r="C25" s="42">
        <v>25235953.859000001</v>
      </c>
      <c r="D25" s="42">
        <v>30296376.938999999</v>
      </c>
      <c r="E25" s="42">
        <v>24775531.623</v>
      </c>
      <c r="F25" s="43">
        <v>23535939.070999999</v>
      </c>
      <c r="G25" s="43">
        <v>25973381.397999998</v>
      </c>
      <c r="H25" s="43">
        <v>26794084.862</v>
      </c>
      <c r="I25" s="43">
        <v>29190949.215</v>
      </c>
      <c r="J25" s="43">
        <v>27290941.423</v>
      </c>
      <c r="K25" s="43">
        <v>28903797.561000001</v>
      </c>
      <c r="L25" s="43">
        <v>26498463.500999998</v>
      </c>
      <c r="M25" s="67">
        <v>25723093.559</v>
      </c>
    </row>
    <row r="26" spans="1:13" ht="27" customHeight="1">
      <c r="A26" s="33">
        <v>30</v>
      </c>
      <c r="B26" s="32" t="s">
        <v>45</v>
      </c>
      <c r="C26" s="42">
        <v>5368656</v>
      </c>
      <c r="D26" s="42">
        <v>4718201</v>
      </c>
      <c r="E26" s="42">
        <v>4913419.4231000002</v>
      </c>
      <c r="F26" s="43">
        <v>5172134.4250999996</v>
      </c>
      <c r="G26" s="43">
        <v>4748994.5164000001</v>
      </c>
      <c r="H26" s="43">
        <v>5087733.4881999996</v>
      </c>
      <c r="I26" s="43">
        <v>3657132.1249000002</v>
      </c>
      <c r="J26" s="43">
        <v>3910233.4479</v>
      </c>
      <c r="K26" s="43">
        <v>3513375.6645999998</v>
      </c>
      <c r="L26" s="43">
        <v>3976869.4400999998</v>
      </c>
      <c r="M26" s="67">
        <v>3425551.5115159</v>
      </c>
    </row>
    <row r="27" spans="1:13" ht="27" customHeight="1">
      <c r="A27" s="33">
        <v>31</v>
      </c>
      <c r="B27" s="32" t="s">
        <v>46</v>
      </c>
      <c r="C27" s="42">
        <v>2953620</v>
      </c>
      <c r="D27" s="42">
        <v>2962866</v>
      </c>
      <c r="E27" s="42">
        <v>3084767.6167000001</v>
      </c>
      <c r="F27" s="43">
        <v>4244552.2426000005</v>
      </c>
      <c r="G27" s="43">
        <v>3220283.548</v>
      </c>
      <c r="H27" s="43">
        <v>3967952.2784000002</v>
      </c>
      <c r="I27" s="43">
        <v>3279627.5998</v>
      </c>
      <c r="J27" s="43">
        <v>4136808.6943999999</v>
      </c>
      <c r="K27" s="43">
        <v>3412583.7097999998</v>
      </c>
      <c r="L27" s="43">
        <v>4278694.7774999999</v>
      </c>
      <c r="M27" s="67">
        <v>3493409.1627242332</v>
      </c>
    </row>
    <row r="28" spans="1:13" ht="27" customHeight="1">
      <c r="A28" s="33">
        <v>32</v>
      </c>
      <c r="B28" s="32" t="s">
        <v>57</v>
      </c>
      <c r="C28" s="42">
        <v>6013129.0620999997</v>
      </c>
      <c r="D28" s="42">
        <v>5574837.1617000001</v>
      </c>
      <c r="E28" s="42">
        <v>5335361.0614</v>
      </c>
      <c r="F28" s="43">
        <v>5715206.9693</v>
      </c>
      <c r="G28" s="43">
        <v>5029891.8910999997</v>
      </c>
      <c r="H28" s="43">
        <v>4955971.9797999999</v>
      </c>
      <c r="I28" s="43">
        <v>5648715.9923</v>
      </c>
      <c r="J28" s="43">
        <v>5898955.4352000002</v>
      </c>
      <c r="K28" s="43">
        <v>6426329</v>
      </c>
      <c r="L28" s="43">
        <v>5282291.8422999997</v>
      </c>
      <c r="M28" s="67">
        <v>5444808.9789539333</v>
      </c>
    </row>
    <row r="29" spans="1:13" ht="27" customHeight="1" thickBot="1">
      <c r="A29" s="34">
        <v>33</v>
      </c>
      <c r="B29" s="35" t="s">
        <v>58</v>
      </c>
      <c r="C29" s="44">
        <v>1095904.9262000001</v>
      </c>
      <c r="D29" s="44">
        <v>977756.37234999996</v>
      </c>
      <c r="E29" s="44">
        <v>1125727.8769</v>
      </c>
      <c r="F29" s="45">
        <v>1149859.8018</v>
      </c>
      <c r="G29" s="45">
        <v>961355.52553999994</v>
      </c>
      <c r="H29" s="45">
        <v>965323.40676000004</v>
      </c>
      <c r="I29" s="45">
        <v>833763.74207000004</v>
      </c>
      <c r="J29" s="45">
        <v>938570.5</v>
      </c>
      <c r="K29" s="45">
        <v>954280.58733999997</v>
      </c>
      <c r="L29" s="45">
        <v>727394.33333000005</v>
      </c>
      <c r="M29" s="68">
        <v>719686.6</v>
      </c>
    </row>
    <row r="30" spans="1:13" ht="27" customHeight="1">
      <c r="G30" s="27"/>
    </row>
    <row r="31" spans="1:13" ht="27" customHeight="1">
      <c r="G31" s="27"/>
    </row>
    <row r="32" spans="1:13" ht="27" customHeight="1">
      <c r="G32" s="27"/>
    </row>
    <row r="33" spans="5:6" s="27" customFormat="1" ht="27" customHeight="1">
      <c r="E33" s="36"/>
      <c r="F33" s="36"/>
    </row>
  </sheetData>
  <mergeCells count="4">
    <mergeCell ref="B3:B4"/>
    <mergeCell ref="A3:A4"/>
    <mergeCell ref="A2:E2"/>
    <mergeCell ref="C3:M3"/>
  </mergeCells>
  <pageMargins left="0.75" right="0.75" top="1" bottom="1" header="0.5" footer="0.5"/>
  <pageSetup paperSize="9" orientation="portrait" r:id="rId1"/>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D90F-B5D2-4559-9DB2-9001EA533AC5}">
  <dimension ref="A1:M36"/>
  <sheetViews>
    <sheetView rightToLeft="1" workbookViewId="0">
      <selection activeCell="D9" sqref="A9:IV9"/>
    </sheetView>
  </sheetViews>
  <sheetFormatPr defaultRowHeight="27.75" customHeight="1"/>
  <cols>
    <col min="1" max="1" width="9.28515625" style="27" bestFit="1" customWidth="1"/>
    <col min="2" max="2" width="25" style="27" customWidth="1"/>
    <col min="3" max="6" width="19" style="27" customWidth="1"/>
    <col min="7" max="7" width="19" style="36" customWidth="1"/>
    <col min="8" max="8" width="18.85546875" style="36" customWidth="1"/>
    <col min="9" max="9" width="16.42578125" style="27" bestFit="1" customWidth="1"/>
    <col min="10" max="13" width="16.42578125" style="27" customWidth="1"/>
    <col min="14" max="16384" width="9.140625" style="27"/>
  </cols>
  <sheetData>
    <row r="1" spans="1:13" ht="27.75" customHeight="1">
      <c r="A1" s="37" t="s">
        <v>96</v>
      </c>
    </row>
    <row r="2" spans="1:13" ht="27.75" customHeight="1" thickBot="1">
      <c r="A2" s="76" t="s">
        <v>103</v>
      </c>
      <c r="B2" s="76"/>
      <c r="C2" s="76"/>
      <c r="D2" s="76"/>
      <c r="E2" s="76"/>
      <c r="F2" s="76"/>
      <c r="G2" s="76"/>
      <c r="H2" s="76"/>
    </row>
    <row r="3" spans="1:13" ht="27.75" customHeight="1">
      <c r="A3" s="83" t="s">
        <v>48</v>
      </c>
      <c r="B3" s="85" t="s">
        <v>27</v>
      </c>
      <c r="C3" s="82" t="s">
        <v>47</v>
      </c>
      <c r="D3" s="82"/>
      <c r="E3" s="82"/>
      <c r="F3" s="82"/>
      <c r="G3" s="82"/>
      <c r="H3" s="82"/>
      <c r="I3" s="82"/>
      <c r="J3" s="82"/>
      <c r="K3" s="82"/>
      <c r="L3" s="82"/>
      <c r="M3" s="82"/>
    </row>
    <row r="4" spans="1:13" ht="27.75" customHeight="1">
      <c r="A4" s="84"/>
      <c r="B4" s="86"/>
      <c r="C4" s="59">
        <v>1383</v>
      </c>
      <c r="D4" s="59">
        <v>1384</v>
      </c>
      <c r="E4" s="59">
        <v>1385</v>
      </c>
      <c r="F4" s="59">
        <v>1386</v>
      </c>
      <c r="G4" s="59">
        <v>1387</v>
      </c>
      <c r="H4" s="59">
        <v>1388</v>
      </c>
      <c r="I4" s="59">
        <v>1389</v>
      </c>
      <c r="J4" s="61">
        <v>1390</v>
      </c>
      <c r="K4" s="61">
        <v>1391</v>
      </c>
      <c r="L4" s="61">
        <v>1392</v>
      </c>
      <c r="M4" s="61">
        <v>1393</v>
      </c>
    </row>
    <row r="5" spans="1:13" ht="27.75" customHeight="1">
      <c r="A5" s="46"/>
      <c r="B5" s="47" t="s">
        <v>67</v>
      </c>
      <c r="C5" s="48">
        <f>SUM(C6:C36)</f>
        <v>1081248740.1732199</v>
      </c>
      <c r="D5" s="48">
        <f t="shared" ref="D5:M5" si="0">SUM(D6:D36)</f>
        <v>1068288043.9253001</v>
      </c>
      <c r="E5" s="48">
        <f t="shared" si="0"/>
        <v>1117474217.6253004</v>
      </c>
      <c r="F5" s="48">
        <f t="shared" si="0"/>
        <v>1159955400.7203999</v>
      </c>
      <c r="G5" s="48">
        <f t="shared" si="0"/>
        <v>1152266425.6543</v>
      </c>
      <c r="H5" s="48">
        <f t="shared" si="0"/>
        <v>1143817810.3750997</v>
      </c>
      <c r="I5" s="48">
        <f t="shared" si="0"/>
        <v>1124224969.7867999</v>
      </c>
      <c r="J5" s="48">
        <f t="shared" si="0"/>
        <v>1164430470.7990999</v>
      </c>
      <c r="K5" s="48">
        <f t="shared" si="0"/>
        <v>1155597649.1601999</v>
      </c>
      <c r="L5" s="48">
        <f t="shared" si="0"/>
        <v>1160020762.1082001</v>
      </c>
      <c r="M5" s="69">
        <f t="shared" si="0"/>
        <v>1093194411.3911002</v>
      </c>
    </row>
    <row r="6" spans="1:13" ht="27.75" customHeight="1">
      <c r="A6" s="33">
        <v>3</v>
      </c>
      <c r="B6" s="50" t="s">
        <v>0</v>
      </c>
      <c r="C6" s="48">
        <v>88378969.229000002</v>
      </c>
      <c r="D6" s="48">
        <v>90205516.916999996</v>
      </c>
      <c r="E6" s="48">
        <v>71565492.517000005</v>
      </c>
      <c r="F6" s="49">
        <v>67699546.828999996</v>
      </c>
      <c r="G6" s="48">
        <v>48443519.707999997</v>
      </c>
      <c r="H6" s="48">
        <v>51587747.924999997</v>
      </c>
      <c r="I6" s="49">
        <v>50472912.656000003</v>
      </c>
      <c r="J6" s="49">
        <v>43116874.629000001</v>
      </c>
      <c r="K6" s="49">
        <v>44637377.596000001</v>
      </c>
      <c r="L6" s="49">
        <v>46519030.454999998</v>
      </c>
      <c r="M6" s="69">
        <v>58358837.866999999</v>
      </c>
    </row>
    <row r="7" spans="1:13" ht="27.75" customHeight="1">
      <c r="A7" s="33">
        <v>4</v>
      </c>
      <c r="B7" s="50" t="s">
        <v>1</v>
      </c>
      <c r="C7" s="48">
        <v>7342565.8294000002</v>
      </c>
      <c r="D7" s="48">
        <v>20492761.344000001</v>
      </c>
      <c r="E7" s="48">
        <v>21633826.662999999</v>
      </c>
      <c r="F7" s="49">
        <v>20692729.258000001</v>
      </c>
      <c r="G7" s="48">
        <v>21366192.883000001</v>
      </c>
      <c r="H7" s="48">
        <v>19499903.785999998</v>
      </c>
      <c r="I7" s="49">
        <v>12863405.487</v>
      </c>
      <c r="J7" s="49">
        <v>25795747.513</v>
      </c>
      <c r="K7" s="49">
        <v>25559361.769000001</v>
      </c>
      <c r="L7" s="49">
        <v>24183309.364999998</v>
      </c>
      <c r="M7" s="69">
        <v>12406061.402000001</v>
      </c>
    </row>
    <row r="8" spans="1:13" ht="27.75" customHeight="1">
      <c r="A8" s="33">
        <v>24</v>
      </c>
      <c r="B8" s="50" t="s">
        <v>2</v>
      </c>
      <c r="C8" s="48">
        <v>10608946.314999999</v>
      </c>
      <c r="D8" s="48">
        <v>13790246.153999999</v>
      </c>
      <c r="E8" s="48">
        <v>11524818.152000001</v>
      </c>
      <c r="F8" s="49">
        <v>13778161.4</v>
      </c>
      <c r="G8" s="48">
        <v>11418435.304</v>
      </c>
      <c r="H8" s="48">
        <v>14438146.311000001</v>
      </c>
      <c r="I8" s="49">
        <v>19057588.065000001</v>
      </c>
      <c r="J8" s="49">
        <v>16235864.054</v>
      </c>
      <c r="K8" s="49">
        <v>15113235.886</v>
      </c>
      <c r="L8" s="49">
        <v>16647559.036</v>
      </c>
      <c r="M8" s="69">
        <v>30356400.085000001</v>
      </c>
    </row>
    <row r="9" spans="1:13" ht="27.75" customHeight="1">
      <c r="A9" s="33">
        <v>10</v>
      </c>
      <c r="B9" s="50" t="s">
        <v>3</v>
      </c>
      <c r="C9" s="48">
        <v>35683002.071999997</v>
      </c>
      <c r="D9" s="48">
        <v>39959764.993000001</v>
      </c>
      <c r="E9" s="48">
        <v>31469541.392999999</v>
      </c>
      <c r="F9" s="49">
        <v>52862809.226000004</v>
      </c>
      <c r="G9" s="48">
        <v>45760057.866999999</v>
      </c>
      <c r="H9" s="48">
        <v>27200701.552000001</v>
      </c>
      <c r="I9" s="49">
        <v>34713939.053000003</v>
      </c>
      <c r="J9" s="49">
        <v>31765815.749000002</v>
      </c>
      <c r="K9" s="49">
        <v>31657462.732999999</v>
      </c>
      <c r="L9" s="49">
        <v>34112455.147</v>
      </c>
      <c r="M9" s="69">
        <v>32084584.942000002</v>
      </c>
    </row>
    <row r="10" spans="1:13" ht="27.75" customHeight="1">
      <c r="A10" s="33">
        <v>30</v>
      </c>
      <c r="B10" s="50" t="s">
        <v>4</v>
      </c>
      <c r="C10" s="48">
        <v>10132980.652000001</v>
      </c>
      <c r="D10" s="48">
        <v>10275060.695</v>
      </c>
      <c r="E10" s="48">
        <v>7098823.4526000004</v>
      </c>
      <c r="F10" s="49">
        <v>10660524.112</v>
      </c>
      <c r="G10" s="48">
        <v>9666452.3175000008</v>
      </c>
      <c r="H10" s="48">
        <v>9825301.9403000008</v>
      </c>
      <c r="I10" s="49">
        <v>9755193.1785000004</v>
      </c>
      <c r="J10" s="49">
        <v>18130667.390999999</v>
      </c>
      <c r="K10" s="49">
        <v>12754614.346000001</v>
      </c>
      <c r="L10" s="49">
        <v>11544403.112</v>
      </c>
      <c r="M10" s="69">
        <v>18131010.195999999</v>
      </c>
    </row>
    <row r="11" spans="1:13" ht="27.75" customHeight="1">
      <c r="A11" s="33">
        <v>16</v>
      </c>
      <c r="B11" s="50" t="s">
        <v>5</v>
      </c>
      <c r="C11" s="48">
        <v>12868040.155999999</v>
      </c>
      <c r="D11" s="48">
        <v>9400740.6640000008</v>
      </c>
      <c r="E11" s="48">
        <v>28269109.162</v>
      </c>
      <c r="F11" s="49">
        <v>7307918.5915000001</v>
      </c>
      <c r="G11" s="48">
        <v>12950455.289999999</v>
      </c>
      <c r="H11" s="48">
        <v>13466169.517000001</v>
      </c>
      <c r="I11" s="49">
        <v>17137962.463</v>
      </c>
      <c r="J11" s="49">
        <v>13943993.631999999</v>
      </c>
      <c r="K11" s="49">
        <v>9365857.6063000001</v>
      </c>
      <c r="L11" s="49">
        <v>14280178.432</v>
      </c>
      <c r="M11" s="69">
        <v>18235822.186000001</v>
      </c>
    </row>
    <row r="12" spans="1:13" ht="27.75" customHeight="1">
      <c r="A12" s="33">
        <v>18</v>
      </c>
      <c r="B12" s="50" t="s">
        <v>6</v>
      </c>
      <c r="C12" s="48">
        <v>242303105.28</v>
      </c>
      <c r="D12" s="48">
        <v>256231000.68000001</v>
      </c>
      <c r="E12" s="48">
        <v>320159588.68000001</v>
      </c>
      <c r="F12" s="49">
        <v>290115472.89999998</v>
      </c>
      <c r="G12" s="48">
        <v>348516234.06999999</v>
      </c>
      <c r="H12" s="48">
        <v>396381907.66000003</v>
      </c>
      <c r="I12" s="49">
        <v>322391546.94</v>
      </c>
      <c r="J12" s="49">
        <v>334917261.41000003</v>
      </c>
      <c r="K12" s="49">
        <v>339352853.02999997</v>
      </c>
      <c r="L12" s="49">
        <v>287745978.37</v>
      </c>
      <c r="M12" s="69">
        <v>263686128.15000001</v>
      </c>
    </row>
    <row r="13" spans="1:13" ht="27.75" customHeight="1">
      <c r="A13" s="33">
        <v>23</v>
      </c>
      <c r="B13" s="50" t="s">
        <v>7</v>
      </c>
      <c r="C13" s="48">
        <v>57802438.185999997</v>
      </c>
      <c r="D13" s="48">
        <v>45617497.715000004</v>
      </c>
      <c r="E13" s="48">
        <v>46349257.575000003</v>
      </c>
      <c r="F13" s="49">
        <v>42397822.130000003</v>
      </c>
      <c r="G13" s="48">
        <v>34575411.623000003</v>
      </c>
      <c r="H13" s="48">
        <v>32159584.445999999</v>
      </c>
      <c r="I13" s="49">
        <v>34362936.603</v>
      </c>
      <c r="J13" s="49">
        <v>33327081.627</v>
      </c>
      <c r="K13" s="49">
        <v>30235366.767999999</v>
      </c>
      <c r="L13" s="49">
        <v>40246813.472999997</v>
      </c>
      <c r="M13" s="69">
        <v>23014383.664999999</v>
      </c>
    </row>
    <row r="14" spans="1:13" ht="27.75" customHeight="1">
      <c r="A14" s="33">
        <v>14</v>
      </c>
      <c r="B14" s="50" t="s">
        <v>64</v>
      </c>
      <c r="C14" s="48">
        <v>39658527.979000002</v>
      </c>
      <c r="D14" s="48">
        <v>21430590.177999999</v>
      </c>
      <c r="E14" s="48">
        <v>22490013.818999998</v>
      </c>
      <c r="F14" s="49">
        <v>28033602.776999999</v>
      </c>
      <c r="G14" s="48">
        <v>25056827.008000001</v>
      </c>
      <c r="H14" s="48">
        <v>24476788.837000001</v>
      </c>
      <c r="I14" s="49">
        <v>25763940.866</v>
      </c>
      <c r="J14" s="49">
        <v>21943387.377999999</v>
      </c>
      <c r="K14" s="49">
        <v>27106477.419</v>
      </c>
      <c r="L14" s="49">
        <v>37344152.020000003</v>
      </c>
      <c r="M14" s="69">
        <v>21783910.138999999</v>
      </c>
    </row>
    <row r="15" spans="1:13" ht="27.75" customHeight="1">
      <c r="A15" s="33">
        <v>29</v>
      </c>
      <c r="B15" s="50" t="s">
        <v>8</v>
      </c>
      <c r="C15" s="48">
        <v>27283414.098000001</v>
      </c>
      <c r="D15" s="48">
        <v>33476793.357999999</v>
      </c>
      <c r="E15" s="48">
        <v>35358023.748999998</v>
      </c>
      <c r="F15" s="49">
        <v>32460147.364</v>
      </c>
      <c r="G15" s="48">
        <v>30952282.412999999</v>
      </c>
      <c r="H15" s="48">
        <v>37298100.074000001</v>
      </c>
      <c r="I15" s="49">
        <v>37934308.748000003</v>
      </c>
      <c r="J15" s="49">
        <v>39737558.490999997</v>
      </c>
      <c r="K15" s="49">
        <v>31717069.004000001</v>
      </c>
      <c r="L15" s="49">
        <v>34173821.252999999</v>
      </c>
      <c r="M15" s="69">
        <v>30844124.75</v>
      </c>
    </row>
    <row r="16" spans="1:13" ht="27.75" customHeight="1">
      <c r="A16" s="33">
        <v>9</v>
      </c>
      <c r="B16" s="50" t="s">
        <v>29</v>
      </c>
      <c r="C16" s="48">
        <v>154690423.50999999</v>
      </c>
      <c r="D16" s="48">
        <v>142934486.09999999</v>
      </c>
      <c r="E16" s="48">
        <v>146107606.22999999</v>
      </c>
      <c r="F16" s="49">
        <v>163412529.59999999</v>
      </c>
      <c r="G16" s="48">
        <v>169145830.87</v>
      </c>
      <c r="H16" s="48">
        <v>149949123.06</v>
      </c>
      <c r="I16" s="49">
        <v>132956146.84</v>
      </c>
      <c r="J16" s="49">
        <v>130396461.59</v>
      </c>
      <c r="K16" s="49">
        <v>124978637.95999999</v>
      </c>
      <c r="L16" s="49">
        <v>110579688.79000001</v>
      </c>
      <c r="M16" s="69">
        <v>156306111.50999999</v>
      </c>
    </row>
    <row r="17" spans="1:13" ht="27.75" customHeight="1">
      <c r="A17" s="33">
        <v>28</v>
      </c>
      <c r="B17" s="50" t="s">
        <v>9</v>
      </c>
      <c r="C17" s="48">
        <v>2901027.5628999998</v>
      </c>
      <c r="D17" s="48">
        <v>2724900.7924000002</v>
      </c>
      <c r="E17" s="48">
        <v>3398538.2330999998</v>
      </c>
      <c r="F17" s="49">
        <v>2993657.6321</v>
      </c>
      <c r="G17" s="48">
        <v>3945951.3376000002</v>
      </c>
      <c r="H17" s="48">
        <v>4647839.9746000003</v>
      </c>
      <c r="I17" s="49">
        <v>4483955.7854000004</v>
      </c>
      <c r="J17" s="49">
        <v>6120591.9200999998</v>
      </c>
      <c r="K17" s="49">
        <v>7427107.5903000003</v>
      </c>
      <c r="L17" s="49">
        <v>4461145.9584999997</v>
      </c>
      <c r="M17" s="69">
        <v>2788240.1085999999</v>
      </c>
    </row>
    <row r="18" spans="1:13" ht="27.75" customHeight="1">
      <c r="A18" s="33">
        <v>6</v>
      </c>
      <c r="B18" s="50" t="s">
        <v>10</v>
      </c>
      <c r="C18" s="48">
        <v>1335873.1087</v>
      </c>
      <c r="D18" s="48">
        <v>1508730.0787</v>
      </c>
      <c r="E18" s="48">
        <v>1735217.5347</v>
      </c>
      <c r="F18" s="49">
        <v>1804884.9846000001</v>
      </c>
      <c r="G18" s="48">
        <v>1636085.1906000001</v>
      </c>
      <c r="H18" s="48">
        <v>2059745.1030999999</v>
      </c>
      <c r="I18" s="49">
        <v>2477548.5599000002</v>
      </c>
      <c r="J18" s="49">
        <v>2380200.7385999998</v>
      </c>
      <c r="K18" s="49">
        <v>2009822.1577999999</v>
      </c>
      <c r="L18" s="49">
        <v>2031866.2009000001</v>
      </c>
      <c r="M18" s="69">
        <v>1904762.3969000001</v>
      </c>
    </row>
    <row r="19" spans="1:13" ht="27.75" customHeight="1">
      <c r="A19" s="33">
        <v>19</v>
      </c>
      <c r="B19" s="50" t="s">
        <v>11</v>
      </c>
      <c r="C19" s="48">
        <v>5677744.1535</v>
      </c>
      <c r="D19" s="48">
        <v>5859478.8431000002</v>
      </c>
      <c r="E19" s="48">
        <v>5528341.6301999995</v>
      </c>
      <c r="F19" s="49">
        <v>4921647.5894999998</v>
      </c>
      <c r="G19" s="48">
        <v>5446095.5691</v>
      </c>
      <c r="H19" s="48">
        <v>6907661.0777000003</v>
      </c>
      <c r="I19" s="49">
        <v>5415712.9638</v>
      </c>
      <c r="J19" s="49">
        <v>8713253.5352999996</v>
      </c>
      <c r="K19" s="49">
        <v>9195124.0142000001</v>
      </c>
      <c r="L19" s="49">
        <v>7062825.2589999996</v>
      </c>
      <c r="M19" s="69">
        <v>7503232.0231999997</v>
      </c>
    </row>
    <row r="20" spans="1:13" ht="27.75" customHeight="1">
      <c r="A20" s="33">
        <v>20</v>
      </c>
      <c r="B20" s="50" t="s">
        <v>12</v>
      </c>
      <c r="C20" s="48">
        <v>2094278.7015</v>
      </c>
      <c r="D20" s="48">
        <v>2477113.6623999998</v>
      </c>
      <c r="E20" s="48">
        <v>2117290.8492000001</v>
      </c>
      <c r="F20" s="49">
        <v>4344707.4753</v>
      </c>
      <c r="G20" s="48">
        <v>5398710.7128999997</v>
      </c>
      <c r="H20" s="48">
        <v>6860123.3147999998</v>
      </c>
      <c r="I20" s="49">
        <v>8204914.1289999997</v>
      </c>
      <c r="J20" s="49">
        <v>6731318.7364999996</v>
      </c>
      <c r="K20" s="49">
        <v>5500163.4239999996</v>
      </c>
      <c r="L20" s="49">
        <v>9299356.9988000002</v>
      </c>
      <c r="M20" s="69">
        <v>6963548.9762000004</v>
      </c>
    </row>
    <row r="21" spans="1:13" ht="27.75" customHeight="1">
      <c r="A21" s="33">
        <v>11</v>
      </c>
      <c r="B21" s="50" t="s">
        <v>30</v>
      </c>
      <c r="C21" s="48">
        <v>4824859.5394000001</v>
      </c>
      <c r="D21" s="48">
        <v>5154635.2933</v>
      </c>
      <c r="E21" s="48">
        <v>4830676.0261000004</v>
      </c>
      <c r="F21" s="49">
        <v>6099919.5466999998</v>
      </c>
      <c r="G21" s="48">
        <v>3851274.2595000002</v>
      </c>
      <c r="H21" s="48">
        <v>4255518.4645999996</v>
      </c>
      <c r="I21" s="49">
        <v>6262345.3541999999</v>
      </c>
      <c r="J21" s="49">
        <v>4182777.5479000001</v>
      </c>
      <c r="K21" s="49">
        <v>4017843.3953</v>
      </c>
      <c r="L21" s="49">
        <v>5624576.0590000004</v>
      </c>
      <c r="M21" s="69">
        <v>4132142.5690000001</v>
      </c>
    </row>
    <row r="22" spans="1:13" ht="27.75" customHeight="1">
      <c r="A22" s="33">
        <v>7</v>
      </c>
      <c r="B22" s="50" t="s">
        <v>13</v>
      </c>
      <c r="C22" s="48">
        <v>954257.07512000005</v>
      </c>
      <c r="D22" s="48">
        <v>1240770.4665999999</v>
      </c>
      <c r="E22" s="48">
        <v>1285424.7707</v>
      </c>
      <c r="F22" s="49">
        <v>1104052.4335</v>
      </c>
      <c r="G22" s="48">
        <v>1474479.3118</v>
      </c>
      <c r="H22" s="48">
        <v>1492855.2202999999</v>
      </c>
      <c r="I22" s="49">
        <v>2619727.7675999999</v>
      </c>
      <c r="J22" s="49">
        <v>1694779.757</v>
      </c>
      <c r="K22" s="49">
        <v>1593347.6414999999</v>
      </c>
      <c r="L22" s="49">
        <v>3160854.6405000002</v>
      </c>
      <c r="M22" s="69">
        <v>1924452.95</v>
      </c>
    </row>
    <row r="23" spans="1:13" ht="27.75" customHeight="1">
      <c r="A23" s="33">
        <v>26</v>
      </c>
      <c r="B23" s="50" t="s">
        <v>14</v>
      </c>
      <c r="C23" s="48">
        <v>6936362.4184999997</v>
      </c>
      <c r="D23" s="48">
        <v>1941604.8544000001</v>
      </c>
      <c r="E23" s="48">
        <v>2236537.7853000001</v>
      </c>
      <c r="F23" s="49">
        <v>1515230.9694999999</v>
      </c>
      <c r="G23" s="48">
        <v>3229662.9884000001</v>
      </c>
      <c r="H23" s="48">
        <v>4229894.7832000004</v>
      </c>
      <c r="I23" s="49">
        <v>4201453.3722999999</v>
      </c>
      <c r="J23" s="49">
        <v>3552686.9208999998</v>
      </c>
      <c r="K23" s="49">
        <v>2410614.1107000001</v>
      </c>
      <c r="L23" s="49">
        <v>4301506.6462000003</v>
      </c>
      <c r="M23" s="69">
        <v>8269652.5237999996</v>
      </c>
    </row>
    <row r="24" spans="1:13" ht="27.75" customHeight="1">
      <c r="A24" s="33">
        <v>25</v>
      </c>
      <c r="B24" s="50" t="s">
        <v>15</v>
      </c>
      <c r="C24" s="48">
        <v>8401950.7844999991</v>
      </c>
      <c r="D24" s="48">
        <v>8775220.1323000006</v>
      </c>
      <c r="E24" s="48">
        <v>10282848.283</v>
      </c>
      <c r="F24" s="49">
        <v>88470764.395999998</v>
      </c>
      <c r="G24" s="48">
        <v>25897118.782000002</v>
      </c>
      <c r="H24" s="48">
        <v>29738798.125999998</v>
      </c>
      <c r="I24" s="49">
        <v>21241168.221999999</v>
      </c>
      <c r="J24" s="49">
        <v>25622815.061000001</v>
      </c>
      <c r="K24" s="49">
        <v>46482349.571999997</v>
      </c>
      <c r="L24" s="49">
        <v>59995975.472000003</v>
      </c>
      <c r="M24" s="69">
        <v>63218252.292000003</v>
      </c>
    </row>
    <row r="25" spans="1:13" ht="27.75" customHeight="1">
      <c r="A25" s="33">
        <v>12</v>
      </c>
      <c r="B25" s="50" t="s">
        <v>16</v>
      </c>
      <c r="C25" s="48">
        <v>5817488.0535000004</v>
      </c>
      <c r="D25" s="48">
        <v>6856029.0016000001</v>
      </c>
      <c r="E25" s="48">
        <v>6910789.2388000004</v>
      </c>
      <c r="F25" s="49">
        <v>11997282.062000001</v>
      </c>
      <c r="G25" s="48">
        <v>8965372.5318999998</v>
      </c>
      <c r="H25" s="48">
        <v>11358188.18</v>
      </c>
      <c r="I25" s="49">
        <v>12327449.249</v>
      </c>
      <c r="J25" s="49">
        <v>13323559.285</v>
      </c>
      <c r="K25" s="49">
        <v>11971127.954</v>
      </c>
      <c r="L25" s="49">
        <v>13271683.801999999</v>
      </c>
      <c r="M25" s="69">
        <v>8485273.8333999999</v>
      </c>
    </row>
    <row r="26" spans="1:13" ht="27.75" customHeight="1">
      <c r="A26" s="33">
        <v>8</v>
      </c>
      <c r="B26" s="50" t="s">
        <v>17</v>
      </c>
      <c r="C26" s="48">
        <v>51165697.191</v>
      </c>
      <c r="D26" s="48">
        <v>21576935.256000001</v>
      </c>
      <c r="E26" s="48">
        <v>23562516.140999999</v>
      </c>
      <c r="F26" s="49">
        <v>18023361.977000002</v>
      </c>
      <c r="G26" s="48">
        <v>23397973.011</v>
      </c>
      <c r="H26" s="48">
        <v>19779901.416000001</v>
      </c>
      <c r="I26" s="49">
        <v>29973309.587000001</v>
      </c>
      <c r="J26" s="49">
        <v>36508700.960000001</v>
      </c>
      <c r="K26" s="49">
        <v>32851855.289000001</v>
      </c>
      <c r="L26" s="49">
        <v>26887982.833000001</v>
      </c>
      <c r="M26" s="69">
        <v>26105074.585000001</v>
      </c>
    </row>
    <row r="27" spans="1:13" ht="27.75" customHeight="1">
      <c r="A27" s="33">
        <v>5</v>
      </c>
      <c r="B27" s="50" t="s">
        <v>18</v>
      </c>
      <c r="C27" s="48">
        <v>38883545.685000002</v>
      </c>
      <c r="D27" s="48">
        <v>25904525.642000001</v>
      </c>
      <c r="E27" s="48">
        <v>30365386.204</v>
      </c>
      <c r="F27" s="49">
        <v>39550193.75</v>
      </c>
      <c r="G27" s="48">
        <v>31806077.27</v>
      </c>
      <c r="H27" s="48">
        <v>36135223.608999997</v>
      </c>
      <c r="I27" s="49">
        <v>42211984.564000003</v>
      </c>
      <c r="J27" s="49">
        <v>28878308.852000002</v>
      </c>
      <c r="K27" s="49">
        <v>32857702.886</v>
      </c>
      <c r="L27" s="49">
        <v>35849599.612000003</v>
      </c>
      <c r="M27" s="69">
        <v>29371107.089000002</v>
      </c>
    </row>
    <row r="28" spans="1:13" ht="27.75" customHeight="1">
      <c r="A28" s="33">
        <v>17</v>
      </c>
      <c r="B28" s="50" t="s">
        <v>65</v>
      </c>
      <c r="C28" s="48">
        <v>49929484.347999997</v>
      </c>
      <c r="D28" s="48">
        <v>68735134.829999998</v>
      </c>
      <c r="E28" s="48">
        <v>64044826.527000003</v>
      </c>
      <c r="F28" s="49">
        <v>37875536.101000004</v>
      </c>
      <c r="G28" s="48">
        <v>45105733.501999997</v>
      </c>
      <c r="H28" s="48">
        <v>46228606.333999999</v>
      </c>
      <c r="I28" s="49">
        <v>80577485.993000001</v>
      </c>
      <c r="J28" s="49">
        <v>80720593.123999998</v>
      </c>
      <c r="K28" s="49">
        <v>96835014.246999994</v>
      </c>
      <c r="L28" s="49">
        <v>111158249.03</v>
      </c>
      <c r="M28" s="69">
        <v>76109366.783999994</v>
      </c>
    </row>
    <row r="29" spans="1:13" ht="27.75" customHeight="1">
      <c r="A29" s="33">
        <v>27</v>
      </c>
      <c r="B29" s="50" t="s">
        <v>19</v>
      </c>
      <c r="C29" s="48">
        <v>122891688.05</v>
      </c>
      <c r="D29" s="48">
        <v>133218095.78</v>
      </c>
      <c r="E29" s="48">
        <v>120674513.52</v>
      </c>
      <c r="F29" s="49">
        <v>115871828.17</v>
      </c>
      <c r="G29" s="48">
        <v>129529610.43000001</v>
      </c>
      <c r="H29" s="48">
        <v>103106820.15000001</v>
      </c>
      <c r="I29" s="49">
        <v>109398490.03</v>
      </c>
      <c r="J29" s="49">
        <v>129242132.64</v>
      </c>
      <c r="K29" s="49">
        <v>120945990.98999999</v>
      </c>
      <c r="L29" s="49">
        <v>111819855.52</v>
      </c>
      <c r="M29" s="69">
        <v>97001945.627000004</v>
      </c>
    </row>
    <row r="30" spans="1:13" ht="27.75" customHeight="1">
      <c r="A30" s="51">
        <v>1</v>
      </c>
      <c r="B30" s="50" t="s">
        <v>20</v>
      </c>
      <c r="C30" s="48">
        <v>5400953.9358000001</v>
      </c>
      <c r="D30" s="48">
        <v>5865975.6622000001</v>
      </c>
      <c r="E30" s="48">
        <v>5640497.3046000004</v>
      </c>
      <c r="F30" s="49">
        <v>5196077.9386999998</v>
      </c>
      <c r="G30" s="48">
        <v>15779672.525</v>
      </c>
      <c r="H30" s="48">
        <v>6502284.2564000003</v>
      </c>
      <c r="I30" s="49">
        <v>6201717.5021000002</v>
      </c>
      <c r="J30" s="49">
        <v>5466096.1655000001</v>
      </c>
      <c r="K30" s="49">
        <v>5680342.6941999998</v>
      </c>
      <c r="L30" s="49">
        <v>7555777.2991000004</v>
      </c>
      <c r="M30" s="69">
        <v>5795676.3002000004</v>
      </c>
    </row>
    <row r="31" spans="1:13" ht="27.75" customHeight="1">
      <c r="A31" s="33">
        <v>15</v>
      </c>
      <c r="B31" s="50" t="s">
        <v>21</v>
      </c>
      <c r="C31" s="48">
        <v>9309056.3796999995</v>
      </c>
      <c r="D31" s="48">
        <v>8944441.2485000007</v>
      </c>
      <c r="E31" s="48">
        <v>10496621.907</v>
      </c>
      <c r="F31" s="49">
        <v>11449896.539999999</v>
      </c>
      <c r="G31" s="48">
        <v>7484135.2215</v>
      </c>
      <c r="H31" s="48">
        <v>9510232.9622000009</v>
      </c>
      <c r="I31" s="49">
        <v>10562375.684</v>
      </c>
      <c r="J31" s="49">
        <v>10964346.540999999</v>
      </c>
      <c r="K31" s="49">
        <v>7237440.0477</v>
      </c>
      <c r="L31" s="49">
        <v>10936860.659</v>
      </c>
      <c r="M31" s="69">
        <v>7542151.4890999999</v>
      </c>
    </row>
    <row r="32" spans="1:13" ht="27.75" customHeight="1">
      <c r="A32" s="33">
        <v>2</v>
      </c>
      <c r="B32" s="50" t="s">
        <v>22</v>
      </c>
      <c r="C32" s="48">
        <v>27783771.662999999</v>
      </c>
      <c r="D32" s="48">
        <v>29361303.421999998</v>
      </c>
      <c r="E32" s="48">
        <v>28202796.543000001</v>
      </c>
      <c r="F32" s="49">
        <v>32154667.467999998</v>
      </c>
      <c r="G32" s="48">
        <v>30999899.772999998</v>
      </c>
      <c r="H32" s="48">
        <v>29180622.048999999</v>
      </c>
      <c r="I32" s="49">
        <v>31539107.206</v>
      </c>
      <c r="J32" s="49">
        <v>39873124.053999998</v>
      </c>
      <c r="K32" s="49">
        <v>33205526.215999998</v>
      </c>
      <c r="L32" s="49">
        <v>33314684.140999999</v>
      </c>
      <c r="M32" s="69">
        <v>28826059.149</v>
      </c>
    </row>
    <row r="33" spans="1:13" ht="27.75" customHeight="1">
      <c r="A33" s="33">
        <v>0</v>
      </c>
      <c r="B33" s="50" t="s">
        <v>32</v>
      </c>
      <c r="C33" s="48">
        <v>3842135.0652999999</v>
      </c>
      <c r="D33" s="48">
        <v>3564967.0301000001</v>
      </c>
      <c r="E33" s="48">
        <v>4135022.4081999999</v>
      </c>
      <c r="F33" s="49">
        <v>5021812.8306999998</v>
      </c>
      <c r="G33" s="48">
        <v>3936872.1915000002</v>
      </c>
      <c r="H33" s="48">
        <v>5229611.9948000005</v>
      </c>
      <c r="I33" s="49">
        <v>4235667.6633000001</v>
      </c>
      <c r="J33" s="49">
        <v>7984320.5049000001</v>
      </c>
      <c r="K33" s="49">
        <v>5440292.2171999998</v>
      </c>
      <c r="L33" s="49">
        <v>5368551.4934</v>
      </c>
      <c r="M33" s="69">
        <v>11194664.004000001</v>
      </c>
    </row>
    <row r="34" spans="1:13" ht="27.75" customHeight="1">
      <c r="A34" s="33">
        <v>22</v>
      </c>
      <c r="B34" s="50" t="s">
        <v>23</v>
      </c>
      <c r="C34" s="48">
        <v>18695405.75</v>
      </c>
      <c r="D34" s="48">
        <v>22455137.127999999</v>
      </c>
      <c r="E34" s="48">
        <v>23258964.756999999</v>
      </c>
      <c r="F34" s="49">
        <v>16962855.028999999</v>
      </c>
      <c r="G34" s="48">
        <v>17426578.23</v>
      </c>
      <c r="H34" s="48">
        <v>6742131.3485000003</v>
      </c>
      <c r="I34" s="49">
        <v>6789875.5471999999</v>
      </c>
      <c r="J34" s="49">
        <v>8105359.0467999997</v>
      </c>
      <c r="K34" s="49">
        <v>6138591.2580000004</v>
      </c>
      <c r="L34" s="49">
        <v>10765488.825999999</v>
      </c>
      <c r="M34" s="69">
        <v>7864261.5356999999</v>
      </c>
    </row>
    <row r="35" spans="1:13" ht="27.75" customHeight="1">
      <c r="A35" s="33">
        <v>13</v>
      </c>
      <c r="B35" s="50" t="s">
        <v>24</v>
      </c>
      <c r="C35" s="48">
        <v>3589776.2363999998</v>
      </c>
      <c r="D35" s="48">
        <v>3431930.9777000002</v>
      </c>
      <c r="E35" s="48">
        <v>3000500.5247999998</v>
      </c>
      <c r="F35" s="49">
        <v>2982649.6242999998</v>
      </c>
      <c r="G35" s="48">
        <v>3966088.6159999999</v>
      </c>
      <c r="H35" s="48">
        <v>4118254.1285999999</v>
      </c>
      <c r="I35" s="49">
        <v>4628279.9345000004</v>
      </c>
      <c r="J35" s="49">
        <v>4527511.5575999999</v>
      </c>
      <c r="K35" s="49">
        <v>4275193.2580000004</v>
      </c>
      <c r="L35" s="49">
        <v>8163828.1298000002</v>
      </c>
      <c r="M35" s="69">
        <v>5061428</v>
      </c>
    </row>
    <row r="36" spans="1:13" ht="27.75" customHeight="1" thickBot="1">
      <c r="A36" s="34">
        <v>21</v>
      </c>
      <c r="B36" s="52" t="s">
        <v>25</v>
      </c>
      <c r="C36" s="53">
        <v>24060971.164999999</v>
      </c>
      <c r="D36" s="53">
        <v>24876655.026000001</v>
      </c>
      <c r="E36" s="53">
        <v>23740806.045000002</v>
      </c>
      <c r="F36" s="54">
        <v>22193110.015000001</v>
      </c>
      <c r="G36" s="53">
        <v>25137334.846999999</v>
      </c>
      <c r="H36" s="53">
        <v>29450022.774</v>
      </c>
      <c r="I36" s="54">
        <v>33462519.772999998</v>
      </c>
      <c r="J36" s="54">
        <v>30527280.386999998</v>
      </c>
      <c r="K36" s="54">
        <v>27043886.079999998</v>
      </c>
      <c r="L36" s="54">
        <v>31612704.074999999</v>
      </c>
      <c r="M36" s="70">
        <v>27925744.263</v>
      </c>
    </row>
  </sheetData>
  <mergeCells count="4">
    <mergeCell ref="A3:A4"/>
    <mergeCell ref="B3:B4"/>
    <mergeCell ref="A2:H2"/>
    <mergeCell ref="C3:M3"/>
  </mergeCells>
  <pageMargins left="0.75" right="0.75" top="1" bottom="1" header="0.5" footer="0.5"/>
  <pageSetup paperSize="0" orientation="portrait" horizontalDpi="0" verticalDpi="0" copies="0"/>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1904-EEB1-4B35-8EE5-6D1C012CF5FD}">
  <dimension ref="A1:M37"/>
  <sheetViews>
    <sheetView rightToLeft="1" workbookViewId="0">
      <selection activeCell="D6" sqref="D6"/>
    </sheetView>
  </sheetViews>
  <sheetFormatPr defaultRowHeight="26.25" customHeight="1"/>
  <cols>
    <col min="1" max="1" width="15.28515625" style="27" bestFit="1" customWidth="1"/>
    <col min="2" max="2" width="52.7109375" style="27" customWidth="1"/>
    <col min="3" max="6" width="19" style="27" customWidth="1"/>
    <col min="7" max="7" width="19" style="36" customWidth="1"/>
    <col min="8" max="8" width="15.7109375" style="36" customWidth="1"/>
    <col min="9" max="9" width="16.7109375" style="27" customWidth="1"/>
    <col min="10" max="13" width="18.42578125" style="27" customWidth="1"/>
    <col min="14" max="16384" width="9.140625" style="27"/>
  </cols>
  <sheetData>
    <row r="1" spans="1:13" ht="26.25" customHeight="1">
      <c r="A1" s="37" t="s">
        <v>96</v>
      </c>
    </row>
    <row r="2" spans="1:13" ht="26.25" customHeight="1" thickBot="1">
      <c r="A2" s="81" t="s">
        <v>102</v>
      </c>
      <c r="B2" s="81"/>
      <c r="C2" s="76"/>
      <c r="D2" s="76"/>
      <c r="E2" s="76"/>
      <c r="F2" s="76"/>
      <c r="G2" s="76"/>
      <c r="H2" s="27"/>
    </row>
    <row r="3" spans="1:13" ht="26.25" customHeight="1">
      <c r="A3" s="83" t="s">
        <v>34</v>
      </c>
      <c r="B3" s="77" t="s">
        <v>35</v>
      </c>
      <c r="C3" s="82" t="s">
        <v>49</v>
      </c>
      <c r="D3" s="82"/>
      <c r="E3" s="82"/>
      <c r="F3" s="82"/>
      <c r="G3" s="82"/>
      <c r="H3" s="82"/>
      <c r="I3" s="82"/>
      <c r="J3" s="82"/>
      <c r="K3" s="82"/>
      <c r="L3" s="82"/>
      <c r="M3" s="82"/>
    </row>
    <row r="4" spans="1:13" ht="26.25" customHeight="1">
      <c r="A4" s="84"/>
      <c r="B4" s="78"/>
      <c r="C4" s="59">
        <v>1383</v>
      </c>
      <c r="D4" s="59">
        <v>1384</v>
      </c>
      <c r="E4" s="59">
        <v>1385</v>
      </c>
      <c r="F4" s="59">
        <v>1386</v>
      </c>
      <c r="G4" s="59">
        <v>1387</v>
      </c>
      <c r="H4" s="59">
        <v>1388</v>
      </c>
      <c r="I4" s="59">
        <v>1389</v>
      </c>
      <c r="J4" s="59">
        <v>1390</v>
      </c>
      <c r="K4" s="59">
        <v>1391</v>
      </c>
      <c r="L4" s="59">
        <v>1392</v>
      </c>
      <c r="M4" s="59">
        <v>1393</v>
      </c>
    </row>
    <row r="5" spans="1:13" ht="26.25" customHeight="1">
      <c r="A5" s="55"/>
      <c r="B5" s="32" t="s">
        <v>36</v>
      </c>
      <c r="C5" s="48">
        <f>SUM(C6:C29)</f>
        <v>816700721.74098015</v>
      </c>
      <c r="D5" s="48">
        <f t="shared" ref="D5:M5" si="0">SUM(D6:D29)</f>
        <v>821899790.69536996</v>
      </c>
      <c r="E5" s="48">
        <f t="shared" si="0"/>
        <v>789910160.17720008</v>
      </c>
      <c r="F5" s="48">
        <f t="shared" si="0"/>
        <v>804575341.95790017</v>
      </c>
      <c r="G5" s="48">
        <f t="shared" si="0"/>
        <v>806638867.44090009</v>
      </c>
      <c r="H5" s="48">
        <f t="shared" si="0"/>
        <v>798750548.04096901</v>
      </c>
      <c r="I5" s="48">
        <f t="shared" si="0"/>
        <v>809444073.32715714</v>
      </c>
      <c r="J5" s="48">
        <f t="shared" si="0"/>
        <v>791451623.34582698</v>
      </c>
      <c r="K5" s="48">
        <f t="shared" si="0"/>
        <v>792997257.8523432</v>
      </c>
      <c r="L5" s="48">
        <f t="shared" si="0"/>
        <v>793922141.34047687</v>
      </c>
      <c r="M5" s="48">
        <f t="shared" si="0"/>
        <v>805168134.50610161</v>
      </c>
    </row>
    <row r="6" spans="1:13" ht="26.25" customHeight="1">
      <c r="A6" s="33">
        <v>10</v>
      </c>
      <c r="B6" s="32" t="s">
        <v>37</v>
      </c>
      <c r="C6" s="48">
        <v>140159847.13</v>
      </c>
      <c r="D6" s="48">
        <v>148042986</v>
      </c>
      <c r="E6" s="49">
        <v>130159997.3</v>
      </c>
      <c r="F6" s="49">
        <v>137051321.28</v>
      </c>
      <c r="G6" s="49">
        <v>132698261.04000001</v>
      </c>
      <c r="H6" s="48">
        <v>128884422.97</v>
      </c>
      <c r="I6" s="65">
        <v>122074185.43000001</v>
      </c>
      <c r="J6" s="60">
        <v>109515852.59999999</v>
      </c>
      <c r="K6" s="60">
        <v>123812779.36</v>
      </c>
      <c r="L6" s="60">
        <v>112877598.17919952</v>
      </c>
      <c r="M6" s="62">
        <v>106235161.25</v>
      </c>
    </row>
    <row r="7" spans="1:13" ht="26.25" customHeight="1">
      <c r="A7" s="33">
        <v>11</v>
      </c>
      <c r="B7" s="32" t="s">
        <v>38</v>
      </c>
      <c r="C7" s="48">
        <v>10064686.515000001</v>
      </c>
      <c r="D7" s="48">
        <v>9473301.0501000006</v>
      </c>
      <c r="E7" s="49">
        <v>10354803.018999999</v>
      </c>
      <c r="F7" s="49">
        <v>14037832.99</v>
      </c>
      <c r="G7" s="49">
        <v>11238790.624</v>
      </c>
      <c r="H7" s="48">
        <v>13442961.298</v>
      </c>
      <c r="I7" s="65">
        <v>15138708.824999999</v>
      </c>
      <c r="J7" s="60">
        <v>15316380.729</v>
      </c>
      <c r="K7" s="60">
        <v>13272982.233999999</v>
      </c>
      <c r="L7" s="60">
        <v>12222855.751</v>
      </c>
      <c r="M7" s="62">
        <v>12125611.7861441</v>
      </c>
    </row>
    <row r="8" spans="1:13" ht="26.25" customHeight="1">
      <c r="A8" s="33">
        <v>12</v>
      </c>
      <c r="B8" s="32" t="s">
        <v>39</v>
      </c>
      <c r="C8" s="48">
        <v>222561</v>
      </c>
      <c r="D8" s="48">
        <v>265847</v>
      </c>
      <c r="E8" s="49">
        <v>368037</v>
      </c>
      <c r="F8" s="49">
        <v>222561</v>
      </c>
      <c r="G8" s="49">
        <v>112746.81083</v>
      </c>
      <c r="H8" s="48">
        <v>98279.898369000002</v>
      </c>
      <c r="I8" s="65">
        <v>94427.732896999994</v>
      </c>
      <c r="J8" s="60">
        <v>96699.607896999994</v>
      </c>
      <c r="K8" s="60">
        <v>99035.558332999994</v>
      </c>
      <c r="L8" s="60">
        <v>101040.5619</v>
      </c>
      <c r="M8" s="62">
        <v>96223.476190000001</v>
      </c>
    </row>
    <row r="9" spans="1:13" ht="26.25" customHeight="1">
      <c r="A9" s="33">
        <v>13</v>
      </c>
      <c r="B9" s="32" t="s">
        <v>40</v>
      </c>
      <c r="C9" s="48">
        <v>22997854</v>
      </c>
      <c r="D9" s="48">
        <v>24998867</v>
      </c>
      <c r="E9" s="49">
        <v>25148018.081999999</v>
      </c>
      <c r="F9" s="49">
        <v>24183470.452</v>
      </c>
      <c r="G9" s="49">
        <v>23112478.747000001</v>
      </c>
      <c r="H9" s="48">
        <v>19530923.116</v>
      </c>
      <c r="I9" s="65">
        <v>17143389.688999999</v>
      </c>
      <c r="J9" s="60">
        <v>19760447.644000001</v>
      </c>
      <c r="K9" s="60">
        <v>20463407.434</v>
      </c>
      <c r="L9" s="60">
        <v>18679012.607032232</v>
      </c>
      <c r="M9" s="62">
        <v>16462707.051000001</v>
      </c>
    </row>
    <row r="10" spans="1:13" ht="26.25" customHeight="1">
      <c r="A10" s="33">
        <v>14</v>
      </c>
      <c r="B10" s="32" t="s">
        <v>41</v>
      </c>
      <c r="C10" s="48">
        <v>1307494.2873</v>
      </c>
      <c r="D10" s="48">
        <v>934550.97976999998</v>
      </c>
      <c r="E10" s="49">
        <v>1453284.0179000001</v>
      </c>
      <c r="F10" s="49">
        <v>1281567.2172999999</v>
      </c>
      <c r="G10" s="49">
        <v>1545369.2083999999</v>
      </c>
      <c r="H10" s="48">
        <v>1392830.6895999999</v>
      </c>
      <c r="I10" s="65">
        <v>1154770.727</v>
      </c>
      <c r="J10" s="60">
        <v>1193692.0264000001</v>
      </c>
      <c r="K10" s="60">
        <v>1195647.6122000001</v>
      </c>
      <c r="L10" s="60">
        <v>1157496.6032</v>
      </c>
      <c r="M10" s="62">
        <v>743481.37114100496</v>
      </c>
    </row>
    <row r="11" spans="1:13" ht="26.25" customHeight="1">
      <c r="A11" s="33">
        <v>15</v>
      </c>
      <c r="B11" s="32" t="s">
        <v>50</v>
      </c>
      <c r="C11" s="48">
        <v>2265174.3302000002</v>
      </c>
      <c r="D11" s="48">
        <v>2150316.7757999999</v>
      </c>
      <c r="E11" s="49">
        <v>3018982.0628999998</v>
      </c>
      <c r="F11" s="49">
        <v>2631298.9375</v>
      </c>
      <c r="G11" s="49">
        <v>3169511.5402000002</v>
      </c>
      <c r="H11" s="48">
        <v>2879051.1203999999</v>
      </c>
      <c r="I11" s="65">
        <v>3137457.5786000001</v>
      </c>
      <c r="J11" s="60">
        <v>3269197.5355000002</v>
      </c>
      <c r="K11" s="60">
        <v>2909200.1959000002</v>
      </c>
      <c r="L11" s="60">
        <v>3936673.5333333332</v>
      </c>
      <c r="M11" s="62">
        <v>3372449.6590582579</v>
      </c>
    </row>
    <row r="12" spans="1:13" ht="26.25" customHeight="1">
      <c r="A12" s="33">
        <v>16</v>
      </c>
      <c r="B12" s="32" t="s">
        <v>59</v>
      </c>
      <c r="C12" s="48">
        <v>2205842</v>
      </c>
      <c r="D12" s="48">
        <v>1659913.0788</v>
      </c>
      <c r="E12" s="49">
        <v>2188454.7250000001</v>
      </c>
      <c r="F12" s="49">
        <v>2553923.0395</v>
      </c>
      <c r="G12" s="49">
        <v>3137113.0482999999</v>
      </c>
      <c r="H12" s="48">
        <v>2160790.3239000002</v>
      </c>
      <c r="I12" s="65">
        <v>2812770</v>
      </c>
      <c r="J12" s="60">
        <v>2329966.3363999999</v>
      </c>
      <c r="K12" s="60">
        <v>2350394.2974999999</v>
      </c>
      <c r="L12" s="60">
        <v>1441479.9233897978</v>
      </c>
      <c r="M12" s="62">
        <v>2905329.2174</v>
      </c>
    </row>
    <row r="13" spans="1:13" ht="26.25" customHeight="1">
      <c r="A13" s="33">
        <v>17</v>
      </c>
      <c r="B13" s="32" t="s">
        <v>51</v>
      </c>
      <c r="C13" s="48">
        <v>19357921.748</v>
      </c>
      <c r="D13" s="48">
        <v>17419139.638999999</v>
      </c>
      <c r="E13" s="49">
        <v>17240186.840999998</v>
      </c>
      <c r="F13" s="49">
        <v>16811357.120000001</v>
      </c>
      <c r="G13" s="49">
        <v>20383041.052999999</v>
      </c>
      <c r="H13" s="48">
        <v>19784546.046999998</v>
      </c>
      <c r="I13" s="65">
        <v>17686099.252999999</v>
      </c>
      <c r="J13" s="60">
        <v>18024668.993999999</v>
      </c>
      <c r="K13" s="60">
        <v>18333281.664000001</v>
      </c>
      <c r="L13" s="60">
        <v>19804092.000999998</v>
      </c>
      <c r="M13" s="62">
        <v>16043660.931</v>
      </c>
    </row>
    <row r="14" spans="1:13" ht="26.25" customHeight="1">
      <c r="A14" s="33">
        <v>18</v>
      </c>
      <c r="B14" s="32" t="s">
        <v>42</v>
      </c>
      <c r="C14" s="48">
        <v>1278893</v>
      </c>
      <c r="D14" s="48">
        <v>1272174</v>
      </c>
      <c r="E14" s="49">
        <v>1455364.2242999999</v>
      </c>
      <c r="F14" s="49">
        <v>2056830.1669999999</v>
      </c>
      <c r="G14" s="49">
        <v>2099070.6538</v>
      </c>
      <c r="H14" s="48">
        <v>1945897.0737000001</v>
      </c>
      <c r="I14" s="65">
        <v>1639115.9632000001</v>
      </c>
      <c r="J14" s="60">
        <v>1466560.5930000001</v>
      </c>
      <c r="K14" s="60">
        <v>1288986.8137999999</v>
      </c>
      <c r="L14" s="60">
        <v>1768269.4681709222</v>
      </c>
      <c r="M14" s="62">
        <v>1280311.9966319003</v>
      </c>
    </row>
    <row r="15" spans="1:13" ht="26.25" customHeight="1">
      <c r="A15" s="33">
        <v>19</v>
      </c>
      <c r="B15" s="32" t="s">
        <v>52</v>
      </c>
      <c r="C15" s="48">
        <v>145099882.63999999</v>
      </c>
      <c r="D15" s="48">
        <v>143713010.75</v>
      </c>
      <c r="E15" s="49">
        <v>152602138.58000001</v>
      </c>
      <c r="F15" s="49">
        <v>144855856.58000001</v>
      </c>
      <c r="G15" s="49">
        <v>150432093.65000001</v>
      </c>
      <c r="H15" s="48">
        <v>147883590.61000001</v>
      </c>
      <c r="I15" s="65">
        <v>146726216.16999999</v>
      </c>
      <c r="J15" s="60">
        <v>149122832.44</v>
      </c>
      <c r="K15" s="60">
        <v>147361725.81</v>
      </c>
      <c r="L15" s="60">
        <v>154636000.38999999</v>
      </c>
      <c r="M15" s="62">
        <v>163113959.40000001</v>
      </c>
    </row>
    <row r="16" spans="1:13" ht="26.25" customHeight="1">
      <c r="A16" s="33">
        <v>20</v>
      </c>
      <c r="B16" s="32" t="s">
        <v>60</v>
      </c>
      <c r="C16" s="48">
        <v>163202522</v>
      </c>
      <c r="D16" s="48">
        <v>153174159</v>
      </c>
      <c r="E16" s="49">
        <v>149575343.80000001</v>
      </c>
      <c r="F16" s="49">
        <v>159445652.78999999</v>
      </c>
      <c r="G16" s="49">
        <v>155360388.99000001</v>
      </c>
      <c r="H16" s="48">
        <v>161649940.55000001</v>
      </c>
      <c r="I16" s="65">
        <v>184975563.84</v>
      </c>
      <c r="J16" s="60">
        <v>180652087.84999999</v>
      </c>
      <c r="K16" s="60">
        <v>169997141.27000001</v>
      </c>
      <c r="L16" s="60">
        <v>175463226.66</v>
      </c>
      <c r="M16" s="62">
        <v>191514600.77000001</v>
      </c>
    </row>
    <row r="17" spans="1:13" ht="26.25" customHeight="1">
      <c r="A17" s="33">
        <v>21</v>
      </c>
      <c r="B17" s="32" t="s">
        <v>61</v>
      </c>
      <c r="C17" s="48">
        <v>5033767.4748999998</v>
      </c>
      <c r="D17" s="48">
        <v>4921755.1787999999</v>
      </c>
      <c r="E17" s="49">
        <v>4185018</v>
      </c>
      <c r="F17" s="49">
        <v>5398409.4314000001</v>
      </c>
      <c r="G17" s="49">
        <v>4303180.1321</v>
      </c>
      <c r="H17" s="48">
        <v>5132560.2834999999</v>
      </c>
      <c r="I17" s="65">
        <v>4851597.2291999999</v>
      </c>
      <c r="J17" s="60">
        <v>4648339.3174000001</v>
      </c>
      <c r="K17" s="60">
        <v>4530992.0746999998</v>
      </c>
      <c r="L17" s="60">
        <v>4514419.7298999997</v>
      </c>
      <c r="M17" s="62">
        <v>4048472.0765580465</v>
      </c>
    </row>
    <row r="18" spans="1:13" ht="26.25" customHeight="1">
      <c r="A18" s="33">
        <v>22</v>
      </c>
      <c r="B18" s="32" t="s">
        <v>62</v>
      </c>
      <c r="C18" s="48">
        <v>22726215.386999998</v>
      </c>
      <c r="D18" s="48">
        <v>23177903.412</v>
      </c>
      <c r="E18" s="49">
        <v>24579731.386999998</v>
      </c>
      <c r="F18" s="49">
        <v>28917421.283</v>
      </c>
      <c r="G18" s="49">
        <v>29590526.484999999</v>
      </c>
      <c r="H18" s="48">
        <v>27174448.545000002</v>
      </c>
      <c r="I18" s="65">
        <v>28037135.184999999</v>
      </c>
      <c r="J18" s="60">
        <v>26266139.912</v>
      </c>
      <c r="K18" s="60">
        <v>26025840.715999998</v>
      </c>
      <c r="L18" s="60">
        <v>25942734.284000002</v>
      </c>
      <c r="M18" s="62">
        <v>23208261.655619498</v>
      </c>
    </row>
    <row r="19" spans="1:13" ht="26.25" customHeight="1">
      <c r="A19" s="33">
        <v>23</v>
      </c>
      <c r="B19" s="32" t="s">
        <v>63</v>
      </c>
      <c r="C19" s="48">
        <v>78793901.626000002</v>
      </c>
      <c r="D19" s="48">
        <v>79304808.490999997</v>
      </c>
      <c r="E19" s="49">
        <v>72748538.706</v>
      </c>
      <c r="F19" s="49">
        <v>71353666.973000005</v>
      </c>
      <c r="G19" s="49">
        <v>70733027.584000006</v>
      </c>
      <c r="H19" s="48">
        <v>78097270.795000002</v>
      </c>
      <c r="I19" s="65">
        <v>73115965.504999995</v>
      </c>
      <c r="J19" s="60">
        <v>75678520.596000001</v>
      </c>
      <c r="K19" s="60">
        <v>75564422.522</v>
      </c>
      <c r="L19" s="60">
        <v>76231476.316</v>
      </c>
      <c r="M19" s="62">
        <v>78493610.614999995</v>
      </c>
    </row>
    <row r="20" spans="1:13" ht="26.25" customHeight="1">
      <c r="A20" s="33">
        <v>24</v>
      </c>
      <c r="B20" s="32" t="s">
        <v>43</v>
      </c>
      <c r="C20" s="48">
        <v>121116842.04000001</v>
      </c>
      <c r="D20" s="48">
        <v>125222953</v>
      </c>
      <c r="E20" s="49">
        <v>116890445.31999999</v>
      </c>
      <c r="F20" s="49">
        <v>111460360.11</v>
      </c>
      <c r="G20" s="49">
        <v>112927217.58</v>
      </c>
      <c r="H20" s="48">
        <v>115348709.5</v>
      </c>
      <c r="I20" s="65">
        <v>116559641.22</v>
      </c>
      <c r="J20" s="60">
        <v>113758683.84</v>
      </c>
      <c r="K20" s="60">
        <v>117515440.28</v>
      </c>
      <c r="L20" s="60">
        <v>114576677.37</v>
      </c>
      <c r="M20" s="62">
        <v>114265000.81997049</v>
      </c>
    </row>
    <row r="21" spans="1:13" ht="26.25" customHeight="1">
      <c r="A21" s="33">
        <v>25</v>
      </c>
      <c r="B21" s="32" t="s">
        <v>53</v>
      </c>
      <c r="C21" s="48">
        <v>20470295.090999998</v>
      </c>
      <c r="D21" s="48">
        <v>22257192</v>
      </c>
      <c r="E21" s="49">
        <v>17244801.778000001</v>
      </c>
      <c r="F21" s="49">
        <v>24915190.965999998</v>
      </c>
      <c r="G21" s="49">
        <v>24189248.245999999</v>
      </c>
      <c r="H21" s="48">
        <v>17509770.949999999</v>
      </c>
      <c r="I21" s="65">
        <v>21267267.796999998</v>
      </c>
      <c r="J21" s="60">
        <v>19201452.636</v>
      </c>
      <c r="K21" s="60">
        <v>18120186.250999998</v>
      </c>
      <c r="L21" s="60">
        <v>18748275.464000002</v>
      </c>
      <c r="M21" s="62">
        <v>20235942.846999999</v>
      </c>
    </row>
    <row r="22" spans="1:13" ht="26.25" customHeight="1">
      <c r="A22" s="33">
        <v>26</v>
      </c>
      <c r="B22" s="32" t="s">
        <v>54</v>
      </c>
      <c r="C22" s="48">
        <v>3004502.2618</v>
      </c>
      <c r="D22" s="48">
        <v>2441284.5151999998</v>
      </c>
      <c r="E22" s="49">
        <v>4245057.7207000004</v>
      </c>
      <c r="F22" s="49">
        <v>2653378.1274000001</v>
      </c>
      <c r="G22" s="49">
        <v>2720352.4328000001</v>
      </c>
      <c r="H22" s="48">
        <v>2916436.0249999999</v>
      </c>
      <c r="I22" s="65">
        <v>2563127.2999</v>
      </c>
      <c r="J22" s="60">
        <v>2879898.1343999999</v>
      </c>
      <c r="K22" s="60">
        <v>1464110.4172</v>
      </c>
      <c r="L22" s="60">
        <v>2161814.7124707801</v>
      </c>
      <c r="M22" s="62">
        <v>2379907.2323251376</v>
      </c>
    </row>
    <row r="23" spans="1:13" ht="26.25" customHeight="1">
      <c r="A23" s="33">
        <v>27</v>
      </c>
      <c r="B23" s="32" t="s">
        <v>44</v>
      </c>
      <c r="C23" s="48">
        <v>12231417.389</v>
      </c>
      <c r="D23" s="48">
        <v>13697869</v>
      </c>
      <c r="E23" s="49">
        <v>13071004.843</v>
      </c>
      <c r="F23" s="49">
        <v>13420505.32</v>
      </c>
      <c r="G23" s="49">
        <v>14073640.66</v>
      </c>
      <c r="H23" s="48">
        <v>11476584.767000001</v>
      </c>
      <c r="I23" s="65">
        <v>8773602.3666999992</v>
      </c>
      <c r="J23" s="60">
        <v>10517922.203</v>
      </c>
      <c r="K23" s="60">
        <v>7429574.4375</v>
      </c>
      <c r="L23" s="60">
        <v>9085725.7791426536</v>
      </c>
      <c r="M23" s="62">
        <v>9223805.0823359769</v>
      </c>
    </row>
    <row r="24" spans="1:13" ht="26.25" customHeight="1">
      <c r="A24" s="33">
        <v>28</v>
      </c>
      <c r="B24" s="32" t="s">
        <v>55</v>
      </c>
      <c r="C24" s="48">
        <v>13856265</v>
      </c>
      <c r="D24" s="48">
        <v>17934901</v>
      </c>
      <c r="E24" s="49">
        <v>13171420.392999999</v>
      </c>
      <c r="F24" s="49">
        <v>14554133.051000001</v>
      </c>
      <c r="G24" s="49">
        <v>19078914.063999999</v>
      </c>
      <c r="H24" s="48">
        <v>17022337.581999999</v>
      </c>
      <c r="I24" s="65">
        <v>16065882.748</v>
      </c>
      <c r="J24" s="60">
        <v>11421824.892000001</v>
      </c>
      <c r="K24" s="60">
        <v>16982450.967</v>
      </c>
      <c r="L24" s="60">
        <v>12105874.436885968</v>
      </c>
      <c r="M24" s="62">
        <v>12817767.888802286</v>
      </c>
    </row>
    <row r="25" spans="1:13" ht="26.25" customHeight="1">
      <c r="A25" s="33">
        <v>29</v>
      </c>
      <c r="B25" s="32" t="s">
        <v>56</v>
      </c>
      <c r="C25" s="48">
        <v>21245336.035999998</v>
      </c>
      <c r="D25" s="48">
        <v>19951712</v>
      </c>
      <c r="E25" s="49">
        <v>20435834.697000001</v>
      </c>
      <c r="F25" s="49">
        <v>16484802.471999999</v>
      </c>
      <c r="G25" s="49">
        <v>15389582.256999999</v>
      </c>
      <c r="H25" s="48">
        <v>15570912.059</v>
      </c>
      <c r="I25" s="65">
        <v>16206289.475</v>
      </c>
      <c r="J25" s="60">
        <v>17021852.907000002</v>
      </c>
      <c r="K25" s="60">
        <v>14877671.966</v>
      </c>
      <c r="L25" s="60">
        <v>18569957.341869596</v>
      </c>
      <c r="M25" s="62">
        <v>17368321.530512199</v>
      </c>
    </row>
    <row r="26" spans="1:13" ht="26.25" customHeight="1">
      <c r="A26" s="33">
        <v>30</v>
      </c>
      <c r="B26" s="32" t="s">
        <v>45</v>
      </c>
      <c r="C26" s="48">
        <v>2905514.7086</v>
      </c>
      <c r="D26" s="48">
        <v>2835385.0872</v>
      </c>
      <c r="E26" s="49">
        <v>3444095.0564999999</v>
      </c>
      <c r="F26" s="49">
        <v>3364259.7640999998</v>
      </c>
      <c r="G26" s="49">
        <v>3238244.5022</v>
      </c>
      <c r="H26" s="48">
        <v>2737770.4098999999</v>
      </c>
      <c r="I26" s="65">
        <v>3110816.5578000001</v>
      </c>
      <c r="J26" s="60">
        <v>2635030.5060999999</v>
      </c>
      <c r="K26" s="60">
        <v>3115806.4435999999</v>
      </c>
      <c r="L26" s="60">
        <v>2884523.1666666665</v>
      </c>
      <c r="M26" s="62">
        <v>3092643.1744011501</v>
      </c>
    </row>
    <row r="27" spans="1:13" ht="26.25" customHeight="1">
      <c r="A27" s="33">
        <v>31</v>
      </c>
      <c r="B27" s="32" t="s">
        <v>46</v>
      </c>
      <c r="C27" s="48">
        <v>2953620</v>
      </c>
      <c r="D27" s="48">
        <v>2962866</v>
      </c>
      <c r="E27" s="49">
        <v>3084767.6167000001</v>
      </c>
      <c r="F27" s="49">
        <v>2867102.9032000001</v>
      </c>
      <c r="G27" s="49">
        <v>3220283.548</v>
      </c>
      <c r="H27" s="48">
        <v>2477369.5480999998</v>
      </c>
      <c r="I27" s="65">
        <v>3098943.7862999998</v>
      </c>
      <c r="J27" s="60">
        <v>3873071.6927999998</v>
      </c>
      <c r="K27" s="60">
        <v>2979017.2949000001</v>
      </c>
      <c r="L27" s="60">
        <v>3571833.5324155535</v>
      </c>
      <c r="M27" s="62">
        <v>3428927.1960575664</v>
      </c>
    </row>
    <row r="28" spans="1:13" ht="26.25" customHeight="1">
      <c r="A28" s="33">
        <v>32</v>
      </c>
      <c r="B28" s="32" t="s">
        <v>57</v>
      </c>
      <c r="C28" s="48">
        <v>3275367.5463</v>
      </c>
      <c r="D28" s="48">
        <v>3073912.6208000001</v>
      </c>
      <c r="E28" s="49">
        <v>2232964.4619999998</v>
      </c>
      <c r="F28" s="49">
        <v>2869491.5625999998</v>
      </c>
      <c r="G28" s="49">
        <v>2934183.9857999999</v>
      </c>
      <c r="H28" s="48">
        <v>2702894.2116999999</v>
      </c>
      <c r="I28" s="65">
        <v>2352395.0660000001</v>
      </c>
      <c r="J28" s="60">
        <v>2114599.7097999998</v>
      </c>
      <c r="K28" s="60">
        <v>2508709.4473999999</v>
      </c>
      <c r="L28" s="60">
        <v>2694249.7788999998</v>
      </c>
      <c r="M28" s="62">
        <v>2056221.4789539329</v>
      </c>
    </row>
    <row r="29" spans="1:13" ht="26.25" customHeight="1" thickBot="1">
      <c r="A29" s="34">
        <v>33</v>
      </c>
      <c r="B29" s="35" t="s">
        <v>58</v>
      </c>
      <c r="C29" s="53">
        <v>924998.52988000005</v>
      </c>
      <c r="D29" s="53">
        <v>1012983.1169</v>
      </c>
      <c r="E29" s="54">
        <v>1011870.5452000001</v>
      </c>
      <c r="F29" s="54">
        <v>1184948.4209</v>
      </c>
      <c r="G29" s="54">
        <v>951600.59846999997</v>
      </c>
      <c r="H29" s="53">
        <v>930249.66780000005</v>
      </c>
      <c r="I29" s="66">
        <v>858703.88256000006</v>
      </c>
      <c r="J29" s="63">
        <v>685900.64312999998</v>
      </c>
      <c r="K29" s="63">
        <v>798452.78530999995</v>
      </c>
      <c r="L29" s="63">
        <v>746833.75</v>
      </c>
      <c r="M29" s="64">
        <v>655756</v>
      </c>
    </row>
    <row r="30" spans="1:13" ht="26.25" customHeight="1">
      <c r="H30" s="27"/>
    </row>
    <row r="31" spans="1:13" ht="26.25" customHeight="1">
      <c r="H31" s="27"/>
    </row>
    <row r="32" spans="1:13" ht="26.25" customHeight="1">
      <c r="H32" s="27"/>
    </row>
    <row r="33" spans="8:8" ht="26.25" customHeight="1">
      <c r="H33" s="27"/>
    </row>
    <row r="34" spans="8:8" ht="26.25" customHeight="1">
      <c r="H34" s="27"/>
    </row>
    <row r="35" spans="8:8" ht="26.25" customHeight="1">
      <c r="H35" s="27"/>
    </row>
    <row r="36" spans="8:8" ht="26.25" customHeight="1">
      <c r="H36" s="27"/>
    </row>
    <row r="37" spans="8:8" ht="26.25" customHeight="1">
      <c r="H37" s="27"/>
    </row>
  </sheetData>
  <mergeCells count="4">
    <mergeCell ref="A3:A4"/>
    <mergeCell ref="B3:B4"/>
    <mergeCell ref="A2:G2"/>
    <mergeCell ref="C3:M3"/>
  </mergeCells>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E7F7-33F7-4A65-B753-C3E3D8DB069C}">
  <dimension ref="A1:M36"/>
  <sheetViews>
    <sheetView rightToLeft="1" workbookViewId="0"/>
  </sheetViews>
  <sheetFormatPr defaultRowHeight="26.25" customHeight="1"/>
  <cols>
    <col min="1" max="1" width="9.140625" style="27"/>
    <col min="2" max="7" width="19" style="27" customWidth="1"/>
    <col min="8" max="8" width="18" style="27" customWidth="1"/>
    <col min="9" max="9" width="16.7109375" style="27" customWidth="1"/>
    <col min="10" max="13" width="18.42578125" style="27" customWidth="1"/>
    <col min="14" max="16384" width="9.140625" style="27"/>
  </cols>
  <sheetData>
    <row r="1" spans="1:13" ht="26.25" customHeight="1">
      <c r="A1" s="37" t="s">
        <v>96</v>
      </c>
    </row>
    <row r="2" spans="1:13" ht="26.25" customHeight="1" thickBot="1">
      <c r="A2" s="87" t="s">
        <v>101</v>
      </c>
      <c r="B2" s="87"/>
      <c r="C2" s="87"/>
      <c r="D2" s="87"/>
      <c r="E2" s="87"/>
      <c r="F2" s="87"/>
      <c r="G2" s="87"/>
      <c r="H2" s="87"/>
      <c r="I2" s="87"/>
      <c r="J2" s="56"/>
      <c r="K2" s="57"/>
    </row>
    <row r="3" spans="1:13" ht="26.25" customHeight="1">
      <c r="A3" s="83" t="s">
        <v>48</v>
      </c>
      <c r="B3" s="85" t="s">
        <v>27</v>
      </c>
      <c r="C3" s="82" t="s">
        <v>49</v>
      </c>
      <c r="D3" s="82"/>
      <c r="E3" s="82"/>
      <c r="F3" s="82"/>
      <c r="G3" s="82"/>
      <c r="H3" s="82"/>
      <c r="I3" s="82"/>
      <c r="J3" s="82"/>
      <c r="K3" s="82"/>
      <c r="L3" s="82"/>
      <c r="M3" s="82"/>
    </row>
    <row r="4" spans="1:13" ht="26.25" customHeight="1">
      <c r="A4" s="84"/>
      <c r="B4" s="86"/>
      <c r="C4" s="59">
        <v>1383</v>
      </c>
      <c r="D4" s="59">
        <v>1384</v>
      </c>
      <c r="E4" s="59">
        <v>1385</v>
      </c>
      <c r="F4" s="59">
        <v>1386</v>
      </c>
      <c r="G4" s="59">
        <v>1387</v>
      </c>
      <c r="H4" s="59">
        <v>1388</v>
      </c>
      <c r="I4" s="59">
        <v>1389</v>
      </c>
      <c r="J4" s="59">
        <v>1390</v>
      </c>
      <c r="K4" s="59">
        <v>1391</v>
      </c>
      <c r="L4" s="59">
        <v>1392</v>
      </c>
      <c r="M4" s="59">
        <v>1393</v>
      </c>
    </row>
    <row r="5" spans="1:13" ht="26.25" customHeight="1">
      <c r="A5" s="55"/>
      <c r="B5" s="58" t="s">
        <v>28</v>
      </c>
      <c r="C5" s="48">
        <f>SUM(C6:C36)</f>
        <v>816700721.73446989</v>
      </c>
      <c r="D5" s="48">
        <f t="shared" ref="D5:M5" si="0">SUM(D6:D36)</f>
        <v>821899790.69860017</v>
      </c>
      <c r="E5" s="48">
        <f t="shared" si="0"/>
        <v>789910160.16991997</v>
      </c>
      <c r="F5" s="48">
        <f t="shared" si="0"/>
        <v>804575341.96877992</v>
      </c>
      <c r="G5" s="48">
        <f t="shared" si="0"/>
        <v>806638867.43480003</v>
      </c>
      <c r="H5" s="48">
        <f t="shared" si="0"/>
        <v>798750548.04789972</v>
      </c>
      <c r="I5" s="48">
        <f t="shared" si="0"/>
        <v>809444073.80809999</v>
      </c>
      <c r="J5" s="48">
        <f t="shared" si="0"/>
        <v>791451623.34259999</v>
      </c>
      <c r="K5" s="48">
        <f t="shared" si="0"/>
        <v>792997257.85049999</v>
      </c>
      <c r="L5" s="48">
        <f t="shared" si="0"/>
        <v>793922141.33869004</v>
      </c>
      <c r="M5" s="48">
        <f t="shared" si="0"/>
        <v>805168134.50359964</v>
      </c>
    </row>
    <row r="6" spans="1:13" ht="26.25" customHeight="1">
      <c r="A6" s="33">
        <v>3</v>
      </c>
      <c r="B6" s="50" t="s">
        <v>0</v>
      </c>
      <c r="C6" s="48">
        <v>54197782.211000003</v>
      </c>
      <c r="D6" s="48">
        <v>66772812.861000001</v>
      </c>
      <c r="E6" s="49">
        <v>54323016.119999997</v>
      </c>
      <c r="F6" s="49">
        <v>51871817.223999999</v>
      </c>
      <c r="G6" s="48">
        <v>37803502.619999997</v>
      </c>
      <c r="H6" s="48">
        <v>43099971.695</v>
      </c>
      <c r="I6" s="49">
        <v>49575025.086000003</v>
      </c>
      <c r="J6" s="60">
        <v>40455176.674999997</v>
      </c>
      <c r="K6" s="60">
        <v>32876206.033</v>
      </c>
      <c r="L6" s="60">
        <v>28290844.772999998</v>
      </c>
      <c r="M6" s="62">
        <v>41814497.611000001</v>
      </c>
    </row>
    <row r="7" spans="1:13" ht="26.25" customHeight="1">
      <c r="A7" s="33">
        <v>4</v>
      </c>
      <c r="B7" s="50" t="s">
        <v>1</v>
      </c>
      <c r="C7" s="48">
        <v>4908406.6947999997</v>
      </c>
      <c r="D7" s="48">
        <v>9226845.9963000007</v>
      </c>
      <c r="E7" s="49">
        <v>10106005.334000001</v>
      </c>
      <c r="F7" s="49">
        <v>10699450.442</v>
      </c>
      <c r="G7" s="48">
        <v>5667395.1211000001</v>
      </c>
      <c r="H7" s="48">
        <v>15626735.095000001</v>
      </c>
      <c r="I7" s="49">
        <v>17255939.274999999</v>
      </c>
      <c r="J7" s="60">
        <v>14670106.012</v>
      </c>
      <c r="K7" s="60">
        <v>14938220.316</v>
      </c>
      <c r="L7" s="60">
        <v>12171315.215</v>
      </c>
      <c r="M7" s="62">
        <v>7174417.7267000005</v>
      </c>
    </row>
    <row r="8" spans="1:13" ht="26.25" customHeight="1">
      <c r="A8" s="33">
        <v>24</v>
      </c>
      <c r="B8" s="50" t="s">
        <v>2</v>
      </c>
      <c r="C8" s="48">
        <v>7736577.3414000003</v>
      </c>
      <c r="D8" s="48">
        <v>6149466.1338</v>
      </c>
      <c r="E8" s="49">
        <v>7928401.8409000002</v>
      </c>
      <c r="F8" s="49">
        <v>10594004.456</v>
      </c>
      <c r="G8" s="48">
        <v>9411527.7278000005</v>
      </c>
      <c r="H8" s="48">
        <v>10439814.684</v>
      </c>
      <c r="I8" s="49">
        <v>11357489.267999999</v>
      </c>
      <c r="J8" s="60">
        <v>8845245.2180000003</v>
      </c>
      <c r="K8" s="60">
        <v>13551223.771</v>
      </c>
      <c r="L8" s="60">
        <v>10309518.968</v>
      </c>
      <c r="M8" s="62">
        <v>14943624.518999999</v>
      </c>
    </row>
    <row r="9" spans="1:13" ht="26.25" customHeight="1">
      <c r="A9" s="33">
        <v>10</v>
      </c>
      <c r="B9" s="50" t="s">
        <v>3</v>
      </c>
      <c r="C9" s="48">
        <v>37490041.879000001</v>
      </c>
      <c r="D9" s="48">
        <v>36451756.726999998</v>
      </c>
      <c r="E9" s="49">
        <v>25885178.811999999</v>
      </c>
      <c r="F9" s="49">
        <v>45663495.971000001</v>
      </c>
      <c r="G9" s="48">
        <v>55053340.938000001</v>
      </c>
      <c r="H9" s="48">
        <v>19920917.357000001</v>
      </c>
      <c r="I9" s="49">
        <v>21320434.164000001</v>
      </c>
      <c r="J9" s="60">
        <v>21858817.978</v>
      </c>
      <c r="K9" s="60">
        <v>25587564.125999998</v>
      </c>
      <c r="L9" s="60">
        <v>30987250.708999999</v>
      </c>
      <c r="M9" s="62">
        <v>14996616.057</v>
      </c>
    </row>
    <row r="10" spans="1:13" ht="26.25" customHeight="1">
      <c r="A10" s="33">
        <v>30</v>
      </c>
      <c r="B10" s="50" t="s">
        <v>4</v>
      </c>
      <c r="C10" s="48">
        <v>6926138.0368999997</v>
      </c>
      <c r="D10" s="48">
        <v>4170219.3317</v>
      </c>
      <c r="E10" s="49">
        <v>5102192.4020999996</v>
      </c>
      <c r="F10" s="49">
        <v>9197641.5460999999</v>
      </c>
      <c r="G10" s="48">
        <v>8414285.7180000003</v>
      </c>
      <c r="H10" s="48">
        <v>8879227.9929000009</v>
      </c>
      <c r="I10" s="49">
        <v>10168332.446</v>
      </c>
      <c r="J10" s="60">
        <v>8628685.1110999994</v>
      </c>
      <c r="K10" s="60">
        <v>9877097.2434</v>
      </c>
      <c r="L10" s="60">
        <v>8061613.3142999997</v>
      </c>
      <c r="M10" s="62">
        <v>11560288.346999999</v>
      </c>
    </row>
    <row r="11" spans="1:13" ht="26.25" customHeight="1">
      <c r="A11" s="33">
        <v>16</v>
      </c>
      <c r="B11" s="50" t="s">
        <v>5</v>
      </c>
      <c r="C11" s="48">
        <v>7401894.5718</v>
      </c>
      <c r="D11" s="48">
        <v>5009808.0618000003</v>
      </c>
      <c r="E11" s="49">
        <v>3744353.7152999998</v>
      </c>
      <c r="F11" s="49">
        <v>6855058.2411000002</v>
      </c>
      <c r="G11" s="48">
        <v>10600259.772</v>
      </c>
      <c r="H11" s="48">
        <v>9103435.1857999992</v>
      </c>
      <c r="I11" s="49">
        <v>10200822.278000001</v>
      </c>
      <c r="J11" s="60">
        <v>10050021.334000001</v>
      </c>
      <c r="K11" s="60">
        <v>3945876.6039</v>
      </c>
      <c r="L11" s="60">
        <v>10070071.801000001</v>
      </c>
      <c r="M11" s="62">
        <v>12005678.486</v>
      </c>
    </row>
    <row r="12" spans="1:13" ht="26.25" customHeight="1">
      <c r="A12" s="33">
        <v>18</v>
      </c>
      <c r="B12" s="50" t="s">
        <v>6</v>
      </c>
      <c r="C12" s="48">
        <v>221501517.88</v>
      </c>
      <c r="D12" s="48">
        <v>252097384.16</v>
      </c>
      <c r="E12" s="49">
        <v>228367243.09999999</v>
      </c>
      <c r="F12" s="49">
        <v>207059000.59999999</v>
      </c>
      <c r="G12" s="48">
        <v>244204882.52000001</v>
      </c>
      <c r="H12" s="48">
        <v>297429571.25999999</v>
      </c>
      <c r="I12" s="49">
        <v>251100590.30000001</v>
      </c>
      <c r="J12" s="60">
        <v>289397948.88999999</v>
      </c>
      <c r="K12" s="60">
        <v>246466022.34999999</v>
      </c>
      <c r="L12" s="60">
        <v>201667993.31999999</v>
      </c>
      <c r="M12" s="62">
        <v>239738108.91999999</v>
      </c>
    </row>
    <row r="13" spans="1:13" ht="26.25" customHeight="1">
      <c r="A13" s="33">
        <v>23</v>
      </c>
      <c r="B13" s="50" t="s">
        <v>7</v>
      </c>
      <c r="C13" s="48">
        <v>43004256.713</v>
      </c>
      <c r="D13" s="48">
        <v>25846068.030999999</v>
      </c>
      <c r="E13" s="49">
        <v>34177877.748999998</v>
      </c>
      <c r="F13" s="49">
        <v>29140174.199999999</v>
      </c>
      <c r="G13" s="48">
        <v>30379800.340999998</v>
      </c>
      <c r="H13" s="48">
        <v>24356259.028000001</v>
      </c>
      <c r="I13" s="49">
        <v>26659705.657000002</v>
      </c>
      <c r="J13" s="60">
        <v>19089554.807999998</v>
      </c>
      <c r="K13" s="60">
        <v>23855866.568999998</v>
      </c>
      <c r="L13" s="60">
        <v>28420374.043000001</v>
      </c>
      <c r="M13" s="62">
        <v>21577802.223999999</v>
      </c>
    </row>
    <row r="14" spans="1:13" ht="26.25" customHeight="1">
      <c r="A14" s="33">
        <v>14</v>
      </c>
      <c r="B14" s="50" t="s">
        <v>64</v>
      </c>
      <c r="C14" s="48">
        <v>13017820.041999999</v>
      </c>
      <c r="D14" s="48">
        <v>13209894.989</v>
      </c>
      <c r="E14" s="49">
        <v>6866864.7814999996</v>
      </c>
      <c r="F14" s="49">
        <v>20175759.274999999</v>
      </c>
      <c r="G14" s="48">
        <v>19610786.544</v>
      </c>
      <c r="H14" s="48">
        <v>17456795.237</v>
      </c>
      <c r="I14" s="49">
        <v>8461878.5877999999</v>
      </c>
      <c r="J14" s="60">
        <v>6961902.0478999997</v>
      </c>
      <c r="K14" s="60">
        <v>21770808.386999998</v>
      </c>
      <c r="L14" s="60">
        <v>15743732.687999999</v>
      </c>
      <c r="M14" s="62">
        <v>13679281.503</v>
      </c>
    </row>
    <row r="15" spans="1:13" ht="26.25" customHeight="1">
      <c r="A15" s="33">
        <v>29</v>
      </c>
      <c r="B15" s="50" t="s">
        <v>8</v>
      </c>
      <c r="C15" s="48">
        <v>22552328.912999999</v>
      </c>
      <c r="D15" s="48">
        <v>21838703.037</v>
      </c>
      <c r="E15" s="49">
        <v>28405554.965999998</v>
      </c>
      <c r="F15" s="49">
        <v>25218918.173999999</v>
      </c>
      <c r="G15" s="48">
        <v>23962974.881000001</v>
      </c>
      <c r="H15" s="48">
        <v>23663263.311000001</v>
      </c>
      <c r="I15" s="49">
        <v>22960176.142999999</v>
      </c>
      <c r="J15" s="60">
        <v>19944385.039000001</v>
      </c>
      <c r="K15" s="60">
        <v>28121790.173999999</v>
      </c>
      <c r="L15" s="60">
        <v>21812348.715999998</v>
      </c>
      <c r="M15" s="62">
        <v>26453790.122000001</v>
      </c>
    </row>
    <row r="16" spans="1:13" ht="26.25" customHeight="1">
      <c r="A16" s="33">
        <v>9</v>
      </c>
      <c r="B16" s="50" t="s">
        <v>29</v>
      </c>
      <c r="C16" s="48">
        <v>120742267.48</v>
      </c>
      <c r="D16" s="48">
        <v>95121619.290999994</v>
      </c>
      <c r="E16" s="49">
        <v>111345868.28</v>
      </c>
      <c r="F16" s="49">
        <v>109945878.98999999</v>
      </c>
      <c r="G16" s="48">
        <v>95198764.672999993</v>
      </c>
      <c r="H16" s="48">
        <v>91365315.883000001</v>
      </c>
      <c r="I16" s="49">
        <v>70009497.776999995</v>
      </c>
      <c r="J16" s="60">
        <v>110952787.61</v>
      </c>
      <c r="K16" s="60">
        <v>74372636.822999999</v>
      </c>
      <c r="L16" s="60">
        <v>117114588.88</v>
      </c>
      <c r="M16" s="62">
        <v>120378607.56</v>
      </c>
    </row>
    <row r="17" spans="1:13" ht="26.25" customHeight="1">
      <c r="A17" s="33">
        <v>28</v>
      </c>
      <c r="B17" s="50" t="s">
        <v>9</v>
      </c>
      <c r="C17" s="48">
        <v>1905400.4546999999</v>
      </c>
      <c r="D17" s="48">
        <v>2892651.9597999998</v>
      </c>
      <c r="E17" s="49">
        <v>2755626.4454000001</v>
      </c>
      <c r="F17" s="49">
        <v>2792680.4657000001</v>
      </c>
      <c r="G17" s="48">
        <v>3094473.3860999998</v>
      </c>
      <c r="H17" s="48">
        <v>2542402.1354999999</v>
      </c>
      <c r="I17" s="49">
        <v>5146839.2364999996</v>
      </c>
      <c r="J17" s="60">
        <v>2381579.9890000001</v>
      </c>
      <c r="K17" s="60">
        <v>7285708.227</v>
      </c>
      <c r="L17" s="60">
        <v>2771964.6105999998</v>
      </c>
      <c r="M17" s="62">
        <v>2806161.8133999999</v>
      </c>
    </row>
    <row r="18" spans="1:13" ht="26.25" customHeight="1">
      <c r="A18" s="33">
        <v>6</v>
      </c>
      <c r="B18" s="50" t="s">
        <v>10</v>
      </c>
      <c r="C18" s="48">
        <v>1123554.0876</v>
      </c>
      <c r="D18" s="48">
        <v>1222617.2372000001</v>
      </c>
      <c r="E18" s="49">
        <v>1594514.5207</v>
      </c>
      <c r="F18" s="49">
        <v>1369727.9524000001</v>
      </c>
      <c r="G18" s="48">
        <v>1403957.5356000001</v>
      </c>
      <c r="H18" s="48">
        <v>1419136.4487000001</v>
      </c>
      <c r="I18" s="49">
        <v>1416967.1302</v>
      </c>
      <c r="J18" s="60">
        <v>1433934.7117999999</v>
      </c>
      <c r="K18" s="60">
        <v>1171078.4604</v>
      </c>
      <c r="L18" s="60">
        <v>899635.30552000005</v>
      </c>
      <c r="M18" s="62">
        <v>1333514.5636</v>
      </c>
    </row>
    <row r="19" spans="1:13" ht="26.25" customHeight="1">
      <c r="A19" s="33">
        <v>19</v>
      </c>
      <c r="B19" s="50" t="s">
        <v>11</v>
      </c>
      <c r="C19" s="48">
        <v>2790144.2730999999</v>
      </c>
      <c r="D19" s="48">
        <v>2703224.2566</v>
      </c>
      <c r="E19" s="49">
        <v>3368451.4786999999</v>
      </c>
      <c r="F19" s="49">
        <v>3809035.0924999998</v>
      </c>
      <c r="G19" s="48">
        <v>3532361.3920999998</v>
      </c>
      <c r="H19" s="48">
        <v>3724980.6513</v>
      </c>
      <c r="I19" s="49">
        <v>3788194.8810000001</v>
      </c>
      <c r="J19" s="60">
        <v>2448074.3901</v>
      </c>
      <c r="K19" s="60">
        <v>5698287.7526000002</v>
      </c>
      <c r="L19" s="60">
        <v>4070449.7579999999</v>
      </c>
      <c r="M19" s="62">
        <v>4490424.3863000004</v>
      </c>
    </row>
    <row r="20" spans="1:13" ht="26.25" customHeight="1">
      <c r="A20" s="33">
        <v>20</v>
      </c>
      <c r="B20" s="50" t="s">
        <v>12</v>
      </c>
      <c r="C20" s="48">
        <v>1590758.7490000001</v>
      </c>
      <c r="D20" s="48">
        <v>1656172.7191999999</v>
      </c>
      <c r="E20" s="49">
        <v>1765080.9114999999</v>
      </c>
      <c r="F20" s="49">
        <v>2374457.1005000002</v>
      </c>
      <c r="G20" s="48">
        <v>2754937.2629999998</v>
      </c>
      <c r="H20" s="48">
        <v>2684320.4877999998</v>
      </c>
      <c r="I20" s="49">
        <v>3919229.8640999999</v>
      </c>
      <c r="J20" s="60">
        <v>2856933.8037999999</v>
      </c>
      <c r="K20" s="60">
        <v>4397631.2916999999</v>
      </c>
      <c r="L20" s="60">
        <v>3167417.1746999999</v>
      </c>
      <c r="M20" s="62">
        <v>3394217.781</v>
      </c>
    </row>
    <row r="21" spans="1:13" ht="26.25" customHeight="1">
      <c r="A21" s="33">
        <v>11</v>
      </c>
      <c r="B21" s="50" t="s">
        <v>30</v>
      </c>
      <c r="C21" s="48">
        <v>4113345.9322000002</v>
      </c>
      <c r="D21" s="48">
        <v>3801885.0584999998</v>
      </c>
      <c r="E21" s="49">
        <v>4138030.9197999998</v>
      </c>
      <c r="F21" s="49">
        <v>3628512.5177000002</v>
      </c>
      <c r="G21" s="48">
        <v>2777730.4720000001</v>
      </c>
      <c r="H21" s="48">
        <v>2239934.2675000001</v>
      </c>
      <c r="I21" s="49">
        <v>3212921.5894999998</v>
      </c>
      <c r="J21" s="60">
        <v>3366705.7895999998</v>
      </c>
      <c r="K21" s="60">
        <v>1927979.1956</v>
      </c>
      <c r="L21" s="60">
        <v>1182425.9332999999</v>
      </c>
      <c r="M21" s="62">
        <v>1930591.4622</v>
      </c>
    </row>
    <row r="22" spans="1:13" ht="26.25" customHeight="1">
      <c r="A22" s="33">
        <v>7</v>
      </c>
      <c r="B22" s="50" t="s">
        <v>13</v>
      </c>
      <c r="C22" s="48">
        <v>716744.36526999995</v>
      </c>
      <c r="D22" s="48">
        <v>1423416.8399</v>
      </c>
      <c r="E22" s="49">
        <v>1100031</v>
      </c>
      <c r="F22" s="49">
        <v>1640198.4889</v>
      </c>
      <c r="G22" s="48">
        <v>1052107.1243</v>
      </c>
      <c r="H22" s="48">
        <v>1029494.3408</v>
      </c>
      <c r="I22" s="49">
        <v>1273135.5787</v>
      </c>
      <c r="J22" s="60">
        <v>2650451.8054</v>
      </c>
      <c r="K22" s="60">
        <v>1164331.0674999999</v>
      </c>
      <c r="L22" s="60">
        <v>682746.30437000003</v>
      </c>
      <c r="M22" s="62">
        <v>789216.51190000004</v>
      </c>
    </row>
    <row r="23" spans="1:13" ht="26.25" customHeight="1">
      <c r="A23" s="33">
        <v>26</v>
      </c>
      <c r="B23" s="50" t="s">
        <v>14</v>
      </c>
      <c r="C23" s="48">
        <v>3505954.9698999999</v>
      </c>
      <c r="D23" s="48">
        <v>1222691.5311</v>
      </c>
      <c r="E23" s="49">
        <v>594646.64411999995</v>
      </c>
      <c r="F23" s="49">
        <v>770682.94328000001</v>
      </c>
      <c r="G23" s="48">
        <v>1655052.0659</v>
      </c>
      <c r="H23" s="48">
        <v>1887802.2349</v>
      </c>
      <c r="I23" s="49">
        <v>2358531.1809999999</v>
      </c>
      <c r="J23" s="60">
        <v>1457457.7764000001</v>
      </c>
      <c r="K23" s="60">
        <v>1056038.4166999999</v>
      </c>
      <c r="L23" s="60">
        <v>1869269.83</v>
      </c>
      <c r="M23" s="62">
        <v>6787051</v>
      </c>
    </row>
    <row r="24" spans="1:13" ht="26.25" customHeight="1">
      <c r="A24" s="33">
        <v>25</v>
      </c>
      <c r="B24" s="50" t="s">
        <v>15</v>
      </c>
      <c r="C24" s="48">
        <v>5177353.2648</v>
      </c>
      <c r="D24" s="48">
        <v>4777813.9649</v>
      </c>
      <c r="E24" s="49">
        <v>5140717.7396</v>
      </c>
      <c r="F24" s="49">
        <v>13341722.450999999</v>
      </c>
      <c r="G24" s="48">
        <v>9924890.4395000003</v>
      </c>
      <c r="H24" s="48">
        <v>9517583.0810000002</v>
      </c>
      <c r="I24" s="49">
        <v>10274980.926999999</v>
      </c>
      <c r="J24" s="60">
        <v>10281270.683</v>
      </c>
      <c r="K24" s="60">
        <v>16004157.379000001</v>
      </c>
      <c r="L24" s="60">
        <v>8849525.1286999993</v>
      </c>
      <c r="M24" s="62">
        <v>9780022.4774999991</v>
      </c>
    </row>
    <row r="25" spans="1:13" ht="26.25" customHeight="1">
      <c r="A25" s="33">
        <v>12</v>
      </c>
      <c r="B25" s="50" t="s">
        <v>16</v>
      </c>
      <c r="C25" s="48">
        <v>5029574.9561999999</v>
      </c>
      <c r="D25" s="48">
        <v>5310069.7971999999</v>
      </c>
      <c r="E25" s="49">
        <v>5052569.9227999998</v>
      </c>
      <c r="F25" s="49">
        <v>11295706.632999999</v>
      </c>
      <c r="G25" s="48">
        <v>6923474.9671999998</v>
      </c>
      <c r="H25" s="48">
        <v>6893488.1646999996</v>
      </c>
      <c r="I25" s="49">
        <v>7155759.2023</v>
      </c>
      <c r="J25" s="60">
        <v>5323444.0225999998</v>
      </c>
      <c r="K25" s="60">
        <v>8088467.3285999997</v>
      </c>
      <c r="L25" s="60">
        <v>5235449.8181999996</v>
      </c>
      <c r="M25" s="62">
        <v>5824086.4231000002</v>
      </c>
    </row>
    <row r="26" spans="1:13" ht="26.25" customHeight="1">
      <c r="A26" s="33">
        <v>8</v>
      </c>
      <c r="B26" s="50" t="s">
        <v>17</v>
      </c>
      <c r="C26" s="48">
        <v>13764933.33</v>
      </c>
      <c r="D26" s="48">
        <v>14709471.875</v>
      </c>
      <c r="E26" s="49">
        <v>14954647.267999999</v>
      </c>
      <c r="F26" s="49">
        <v>16801069.346000001</v>
      </c>
      <c r="G26" s="48">
        <v>15105873.821</v>
      </c>
      <c r="H26" s="48">
        <v>22178254.679000001</v>
      </c>
      <c r="I26" s="49">
        <v>19853831.864999998</v>
      </c>
      <c r="J26" s="60">
        <v>20173496.368999999</v>
      </c>
      <c r="K26" s="60">
        <v>26740110.052000001</v>
      </c>
      <c r="L26" s="60">
        <v>21545502.715</v>
      </c>
      <c r="M26" s="62">
        <v>16829502.795000002</v>
      </c>
    </row>
    <row r="27" spans="1:13" ht="26.25" customHeight="1">
      <c r="A27" s="33">
        <v>5</v>
      </c>
      <c r="B27" s="50" t="s">
        <v>18</v>
      </c>
      <c r="C27" s="48">
        <v>34364394.704999998</v>
      </c>
      <c r="D27" s="48">
        <v>26809333.796999998</v>
      </c>
      <c r="E27" s="49">
        <v>27474839.554000001</v>
      </c>
      <c r="F27" s="49">
        <v>27697005.782000002</v>
      </c>
      <c r="G27" s="48">
        <v>20799091.019000001</v>
      </c>
      <c r="H27" s="48">
        <v>19276898.173</v>
      </c>
      <c r="I27" s="49">
        <v>54949280.272</v>
      </c>
      <c r="J27" s="60">
        <v>16747407.562000001</v>
      </c>
      <c r="K27" s="60">
        <v>22993144.800999999</v>
      </c>
      <c r="L27" s="60">
        <v>19436482.359000001</v>
      </c>
      <c r="M27" s="62">
        <v>18841511.555</v>
      </c>
    </row>
    <row r="28" spans="1:13" ht="26.25" customHeight="1">
      <c r="A28" s="33">
        <v>17</v>
      </c>
      <c r="B28" s="50" t="s">
        <v>65</v>
      </c>
      <c r="C28" s="48">
        <v>46539910.994000003</v>
      </c>
      <c r="D28" s="48">
        <v>55629419.158</v>
      </c>
      <c r="E28" s="49">
        <v>47598515.592</v>
      </c>
      <c r="F28" s="49">
        <v>30210477.322000001</v>
      </c>
      <c r="G28" s="48">
        <v>41362014.967</v>
      </c>
      <c r="H28" s="48">
        <v>31235610.078000002</v>
      </c>
      <c r="I28" s="49">
        <v>61758075.662</v>
      </c>
      <c r="J28" s="60">
        <v>46557791.501000002</v>
      </c>
      <c r="K28" s="60">
        <v>57966241.509999998</v>
      </c>
      <c r="L28" s="60">
        <v>65497907.283</v>
      </c>
      <c r="M28" s="62">
        <v>70274230.733999997</v>
      </c>
    </row>
    <row r="29" spans="1:13" ht="26.25" customHeight="1">
      <c r="A29" s="33">
        <v>27</v>
      </c>
      <c r="B29" s="50" t="s">
        <v>19</v>
      </c>
      <c r="C29" s="48">
        <v>98402129.209000006</v>
      </c>
      <c r="D29" s="48">
        <v>94880364.539000005</v>
      </c>
      <c r="E29" s="49">
        <v>82008381.399000004</v>
      </c>
      <c r="F29" s="49">
        <v>87955036.156000003</v>
      </c>
      <c r="G29" s="48">
        <v>92568288.218999997</v>
      </c>
      <c r="H29" s="48">
        <v>77250318.846000001</v>
      </c>
      <c r="I29" s="49">
        <v>78104151.011000007</v>
      </c>
      <c r="J29" s="60">
        <v>74243453.659999996</v>
      </c>
      <c r="K29" s="60">
        <v>80105814.540999994</v>
      </c>
      <c r="L29" s="60">
        <v>81533759.597000003</v>
      </c>
      <c r="M29" s="62">
        <v>72384235.447999999</v>
      </c>
    </row>
    <row r="30" spans="1:13" ht="26.25" customHeight="1">
      <c r="A30" s="33">
        <v>1</v>
      </c>
      <c r="B30" s="50" t="s">
        <v>20</v>
      </c>
      <c r="C30" s="48">
        <v>1806802.0274</v>
      </c>
      <c r="D30" s="48">
        <v>1264928.3940999999</v>
      </c>
      <c r="E30" s="49">
        <v>2667681.1466999999</v>
      </c>
      <c r="F30" s="49">
        <v>2712115.1329999999</v>
      </c>
      <c r="G30" s="48">
        <v>3616758.656</v>
      </c>
      <c r="H30" s="48">
        <v>2452245.2648</v>
      </c>
      <c r="I30" s="49">
        <v>3052848.4586</v>
      </c>
      <c r="J30" s="60">
        <v>2081202.3162</v>
      </c>
      <c r="K30" s="60">
        <v>3005309.7633000002</v>
      </c>
      <c r="L30" s="60">
        <v>4905680.4581000004</v>
      </c>
      <c r="M30" s="62">
        <v>2566802.5312000001</v>
      </c>
    </row>
    <row r="31" spans="1:13" ht="26.25" customHeight="1">
      <c r="A31" s="33">
        <v>15</v>
      </c>
      <c r="B31" s="50" t="s">
        <v>21</v>
      </c>
      <c r="C31" s="48">
        <v>6540504.6427999996</v>
      </c>
      <c r="D31" s="48">
        <v>6736751.7274000002</v>
      </c>
      <c r="E31" s="49">
        <v>8849774.9605</v>
      </c>
      <c r="F31" s="49">
        <v>9074233.5493999999</v>
      </c>
      <c r="G31" s="48">
        <v>6225739.8954999996</v>
      </c>
      <c r="H31" s="48">
        <v>4857703.0372000001</v>
      </c>
      <c r="I31" s="49">
        <v>5378472.0005000001</v>
      </c>
      <c r="J31" s="60">
        <v>5256557.1391000003</v>
      </c>
      <c r="K31" s="60">
        <v>6877922.6765000001</v>
      </c>
      <c r="L31" s="60">
        <v>5082866.5728000002</v>
      </c>
      <c r="M31" s="62">
        <v>5928502.7303999998</v>
      </c>
    </row>
    <row r="32" spans="1:13" ht="26.25" customHeight="1">
      <c r="A32" s="33">
        <v>2</v>
      </c>
      <c r="B32" s="50" t="s">
        <v>22</v>
      </c>
      <c r="C32" s="48">
        <v>22323076.857999999</v>
      </c>
      <c r="D32" s="48">
        <v>23210243.447000001</v>
      </c>
      <c r="E32" s="49">
        <v>21313001.195999999</v>
      </c>
      <c r="F32" s="49">
        <v>24169900.171</v>
      </c>
      <c r="G32" s="48">
        <v>22075321.848000001</v>
      </c>
      <c r="H32" s="48">
        <v>22012389.217999998</v>
      </c>
      <c r="I32" s="49">
        <v>20905721.574000001</v>
      </c>
      <c r="J32" s="60">
        <v>20988245.907000002</v>
      </c>
      <c r="K32" s="60">
        <v>23826632.294</v>
      </c>
      <c r="L32" s="60">
        <v>20797413.429000001</v>
      </c>
      <c r="M32" s="62">
        <v>17607443.697999999</v>
      </c>
    </row>
    <row r="33" spans="1:13" ht="26.25" customHeight="1">
      <c r="A33" s="33">
        <v>0</v>
      </c>
      <c r="B33" s="50" t="s">
        <v>32</v>
      </c>
      <c r="C33" s="48">
        <v>1750310.8211000001</v>
      </c>
      <c r="D33" s="48">
        <v>2333476.5559999999</v>
      </c>
      <c r="E33" s="49">
        <v>2941163.2752999999</v>
      </c>
      <c r="F33" s="49">
        <v>1931097.7316000001</v>
      </c>
      <c r="G33" s="48">
        <v>2821079.2771999999</v>
      </c>
      <c r="H33" s="48">
        <v>1665386.4547999999</v>
      </c>
      <c r="I33" s="49">
        <v>1768216.5818</v>
      </c>
      <c r="J33" s="60">
        <v>1677845.8082999999</v>
      </c>
      <c r="K33" s="60">
        <v>2612384.0384999998</v>
      </c>
      <c r="L33" s="60">
        <v>2658753.7933999998</v>
      </c>
      <c r="M33" s="62">
        <v>2947572.3324000002</v>
      </c>
    </row>
    <row r="34" spans="1:13" ht="26.25" customHeight="1">
      <c r="A34" s="33">
        <v>22</v>
      </c>
      <c r="B34" s="50" t="s">
        <v>23</v>
      </c>
      <c r="C34" s="48">
        <v>4502054.9307000004</v>
      </c>
      <c r="D34" s="48">
        <v>17917166.530999999</v>
      </c>
      <c r="E34" s="49">
        <v>19005849.607000001</v>
      </c>
      <c r="F34" s="49">
        <v>15125775.302999999</v>
      </c>
      <c r="G34" s="48">
        <v>7797898.6113999998</v>
      </c>
      <c r="H34" s="48">
        <v>2676364.1077000001</v>
      </c>
      <c r="I34" s="49">
        <v>2085453.4617999999</v>
      </c>
      <c r="J34" s="60">
        <v>3165019.7431000001</v>
      </c>
      <c r="K34" s="60">
        <v>2440203.2429</v>
      </c>
      <c r="L34" s="60">
        <v>9333508.4761999995</v>
      </c>
      <c r="M34" s="62">
        <v>12586627.533</v>
      </c>
    </row>
    <row r="35" spans="1:13" ht="26.25" customHeight="1">
      <c r="A35" s="33">
        <v>13</v>
      </c>
      <c r="B35" s="50" t="s">
        <v>24</v>
      </c>
      <c r="C35" s="48">
        <v>2268902.2738000001</v>
      </c>
      <c r="D35" s="48">
        <v>1716901.8111</v>
      </c>
      <c r="E35" s="49">
        <v>2320629.7999999998</v>
      </c>
      <c r="F35" s="49">
        <v>2013014.3306</v>
      </c>
      <c r="G35" s="48">
        <v>2655820.2371</v>
      </c>
      <c r="H35" s="48">
        <v>1872779.7794999999</v>
      </c>
      <c r="I35" s="49">
        <v>1965603.3123000001</v>
      </c>
      <c r="J35" s="60">
        <v>2072252.6662000001</v>
      </c>
      <c r="K35" s="60">
        <v>2251230.4219</v>
      </c>
      <c r="L35" s="60">
        <v>2149714.0395</v>
      </c>
      <c r="M35" s="62">
        <v>1759810.0119</v>
      </c>
    </row>
    <row r="36" spans="1:13" ht="26.25" customHeight="1" thickBot="1">
      <c r="A36" s="34">
        <v>21</v>
      </c>
      <c r="B36" s="52" t="s">
        <v>25</v>
      </c>
      <c r="C36" s="53">
        <v>19005839.127</v>
      </c>
      <c r="D36" s="53">
        <v>15786610.879000001</v>
      </c>
      <c r="E36" s="54">
        <v>19013449.688000001</v>
      </c>
      <c r="F36" s="54">
        <v>19441694.379999999</v>
      </c>
      <c r="G36" s="53">
        <v>18184475.381999999</v>
      </c>
      <c r="H36" s="53">
        <v>19992149.868999999</v>
      </c>
      <c r="I36" s="54">
        <v>22005969.037</v>
      </c>
      <c r="J36" s="63">
        <v>15433866.976</v>
      </c>
      <c r="K36" s="63">
        <v>22021272.993999999</v>
      </c>
      <c r="L36" s="63">
        <v>47602016.325000003</v>
      </c>
      <c r="M36" s="64">
        <v>21983895.640000001</v>
      </c>
    </row>
  </sheetData>
  <mergeCells count="4">
    <mergeCell ref="A3:A4"/>
    <mergeCell ref="B3:B4"/>
    <mergeCell ref="A2:I2"/>
    <mergeCell ref="C3:M3"/>
  </mergeCells>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فهرست</vt:lpstr>
      <vt:lpstr>مشخصات کلی طرح</vt:lpstr>
      <vt:lpstr>تعاریف</vt:lpstr>
      <vt:lpstr>تعداد کارگاه آیسیک</vt:lpstr>
      <vt:lpstr>تعداد کارگاه استان</vt:lpstr>
      <vt:lpstr>آب مصرفی آیسیک</vt:lpstr>
      <vt:lpstr>آب مصرفی استان</vt:lpstr>
      <vt:lpstr>آب خریداری آیسیک</vt:lpstr>
      <vt:lpstr>آب خریداری استان</vt:lpstr>
      <vt:lpstr>ab_kharidari_isic96</vt:lpstr>
      <vt:lpstr>ab_kharidari_o96</vt:lpstr>
      <vt:lpstr>ab_mas_is4_96</vt:lpstr>
      <vt:lpstr>ab_os96</vt:lpstr>
      <vt:lpstr>tedad_isic96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razavi</dc:creator>
  <cp:lastModifiedBy>Ali Razavi</cp:lastModifiedBy>
  <dcterms:created xsi:type="dcterms:W3CDTF">2022-07-17T05:57:52Z</dcterms:created>
  <dcterms:modified xsi:type="dcterms:W3CDTF">2026-03-31T18:32:49Z</dcterms:modified>
</cp:coreProperties>
</file>