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wi\Desktop\"/>
    </mc:Choice>
  </mc:AlternateContent>
  <xr:revisionPtr revIDLastSave="0" documentId="8_{3A737C45-9650-4B92-B2A4-0810F2BB5EE8}" xr6:coauthVersionLast="47" xr6:coauthVersionMax="47" xr10:uidLastSave="{00000000-0000-0000-0000-000000000000}"/>
  <bookViews>
    <workbookView xWindow="-120" yWindow="-120" windowWidth="20730" windowHeight="11160" tabRatio="862" xr2:uid="{F843F126-DB8C-4785-AC1E-0242DDEA35B9}"/>
  </bookViews>
  <sheets>
    <sheet name="فهرست" sheetId="13" r:id="rId1"/>
    <sheet name="مشخصات کلی طرح" sheetId="15" r:id="rId2"/>
    <sheet name="تعاریف" sheetId="14" r:id="rId3"/>
    <sheet name="خلاصه یافته" sheetId="16" r:id="rId4"/>
    <sheet name="تعداد کارگاه آیسیک" sheetId="10" r:id="rId5"/>
    <sheet name="تعداد کارگاه استان" sheetId="9" r:id="rId6"/>
    <sheet name="آب مصرفی آیسیک" sheetId="1" r:id="rId7"/>
    <sheet name="آب مصرفی استان" sheetId="2" r:id="rId8"/>
    <sheet name="آب خریداری آیسیک" sheetId="3" r:id="rId9"/>
    <sheet name="آب خریداری استان" sheetId="4" r:id="rId10"/>
  </sheets>
  <externalReferences>
    <externalReference r:id="rId11"/>
  </externalReferences>
  <definedNames>
    <definedName name="ab_kharidari_isic95">#REF!</definedName>
    <definedName name="ab_kharidari_isic96">'آب خریداری آیسیک'!#REF!</definedName>
    <definedName name="ab_kharidari_o95">#REF!</definedName>
    <definedName name="ab_kharidari_o96">'آب خریداری استان'!$C$4:$C$36</definedName>
    <definedName name="ab_mas_is4_96">'آب مصرفی آیسیک'!#REF!</definedName>
    <definedName name="ab_mas_isic4_95">#REF!</definedName>
    <definedName name="ab_mas_o95">#REF!</definedName>
    <definedName name="ab_os96">'آب مصرفی استان'!$C$4:$C$36</definedName>
    <definedName name="pas_o96">#REF!</definedName>
    <definedName name="pasmand_is96">#REF!</definedName>
    <definedName name="pasmand_isic95">#REF!</definedName>
    <definedName name="pasmand_isic96">#REF!</definedName>
    <definedName name="pasmand_o95">#REF!</definedName>
    <definedName name="pasmand_o96">#REF!</definedName>
    <definedName name="sewage_isic95">#REF!</definedName>
    <definedName name="sewage_isic96">#REF!</definedName>
    <definedName name="sewage_o95">#REF!</definedName>
    <definedName name="sewage_o96">#REF!</definedName>
    <definedName name="tedad_isic96">'تعداد کارگاه آیسیک'!$E$1:$F$33</definedName>
    <definedName name="tedad_ostan96">'تعداد کارگاه استان'!$C$4:$C$36</definedName>
  </definedNames>
  <calcPr calcId="191029"/>
  <extLst>
    <ext xmlns:xcalcf="http://schemas.microsoft.com/office/spreadsheetml/2018/calcfeatures" uri="{B58B0392-4F1F-4190-BB64-5DF3571DCE5F}">
      <xcalcf:calcFeatures>
        <xcalcf:feature name="microsoft.com:Single"/>
        <xcalcf:feature name="microsoft.com:CNMTM"/>
      </xcalcf:calcFeatures>
    </ext>
  </extLst>
</workbook>
</file>

<file path=xl/calcChain.xml><?xml version="1.0" encoding="utf-8"?>
<calcChain xmlns="http://schemas.openxmlformats.org/spreadsheetml/2006/main">
  <c r="C5" i="2" l="1"/>
  <c r="C5" i="4"/>
  <c r="C5" i="3"/>
  <c r="C5" i="1"/>
</calcChain>
</file>

<file path=xl/sharedStrings.xml><?xml version="1.0" encoding="utf-8"?>
<sst xmlns="http://schemas.openxmlformats.org/spreadsheetml/2006/main" count="248" uniqueCount="122">
  <si>
    <t>آذربايجان شرقي</t>
  </si>
  <si>
    <t>آذربايجان غربي</t>
  </si>
  <si>
    <t>اردبيل</t>
  </si>
  <si>
    <t>اصفهان</t>
  </si>
  <si>
    <t>البرز</t>
  </si>
  <si>
    <t>ايلام</t>
  </si>
  <si>
    <t>بوشهر</t>
  </si>
  <si>
    <t>تهران</t>
  </si>
  <si>
    <t>خراسان جنوبي</t>
  </si>
  <si>
    <t>خراسان شمالي</t>
  </si>
  <si>
    <t>خوزستان</t>
  </si>
  <si>
    <t>زنجان</t>
  </si>
  <si>
    <t>سمنان</t>
  </si>
  <si>
    <t>فارس</t>
  </si>
  <si>
    <t>قزوين</t>
  </si>
  <si>
    <t>قم</t>
  </si>
  <si>
    <t>كردستان</t>
  </si>
  <si>
    <t>كرمان</t>
  </si>
  <si>
    <t>كرمانشاه</t>
  </si>
  <si>
    <t>گلستان</t>
  </si>
  <si>
    <t>گيلان</t>
  </si>
  <si>
    <t>لرستان</t>
  </si>
  <si>
    <t>مازندران</t>
  </si>
  <si>
    <t>هرمزگان</t>
  </si>
  <si>
    <t>همدان</t>
  </si>
  <si>
    <t>يزد</t>
  </si>
  <si>
    <t>تعداد کارگاه</t>
  </si>
  <si>
    <t>استان</t>
  </si>
  <si>
    <t>کل کشور</t>
  </si>
  <si>
    <t>خراسان رضوي</t>
  </si>
  <si>
    <t>سيستان و بلوچستان</t>
  </si>
  <si>
    <t>كهگيلويه و بويراحمد</t>
  </si>
  <si>
    <t>مركزي</t>
  </si>
  <si>
    <t>فهرست مندرجات</t>
  </si>
  <si>
    <t>کد آیسیک REV4</t>
  </si>
  <si>
    <t>فعالیت</t>
  </si>
  <si>
    <t>کل صنعت</t>
  </si>
  <si>
    <t>توليد فراورده‌هاي غذايي</t>
  </si>
  <si>
    <t>توليد انواع آشاميدني‌ها</t>
  </si>
  <si>
    <t>توليد فراورده‌هاي توتون و تنباكو</t>
  </si>
  <si>
    <t>توليد منسوجات</t>
  </si>
  <si>
    <t>توليد پوشاك</t>
  </si>
  <si>
    <t>چاپ و تکثير رسانه‌هاي ضبط شده</t>
  </si>
  <si>
    <t>توليد فلزات پايه</t>
  </si>
  <si>
    <t>توليد تجهيزات برقي</t>
  </si>
  <si>
    <t>توليد ساير تجهيزات حمل و نقل</t>
  </si>
  <si>
    <t>توليد مبلمان</t>
  </si>
  <si>
    <t>مقدار آب مصرفی</t>
  </si>
  <si>
    <t>کد استان</t>
  </si>
  <si>
    <t>آب خریداری شده</t>
  </si>
  <si>
    <t>توليد چرم و فراورده‌هاي وابسته</t>
  </si>
  <si>
    <t>توليد کاغذ و فراورده‌هاي کاغذي</t>
  </si>
  <si>
    <t>توليد کک و فراورده‌هاي حاصل از پالايش نفت</t>
  </si>
  <si>
    <t>توليد محصولات فلزي ساخته شده، بجز ماشين آلات و تجهيزات</t>
  </si>
  <si>
    <t>ساخت محصولات رايانه‌اي، الکترونيکي و نوري</t>
  </si>
  <si>
    <t>توليد ماشين‌آلات و تجهيزات طبقه‌بندي نشده در جاي ديگر</t>
  </si>
  <si>
    <t>توليد وسايل نقليه موتوري، تريلر و نيم تريلر</t>
  </si>
  <si>
    <t>توليد ساير مصنوعات طبقه‌بندي نشده در جاي ديگر</t>
  </si>
  <si>
    <t>تعمير و نصب ماشين‌آلات و تجهيزات</t>
  </si>
  <si>
    <t>توليد چوب و فراورده‌هاي چوب و چوب پنبه- بجز مبلمان- ساخت کالا از حصير و مواد حصير بافي</t>
  </si>
  <si>
    <t>توليد مواد شيميايي و فراورده‌هاي شيميايي</t>
  </si>
  <si>
    <t>توليد داروها و فراورده‌هاي دارويي شيميايي و گياهي</t>
  </si>
  <si>
    <t>توليد فراورده‌هاي لاستيکي و پلاستيکي</t>
  </si>
  <si>
    <t>توليد ساير فراورده‌هاي معدني غير فلزي</t>
  </si>
  <si>
    <t>چهارمحال و بختياري</t>
  </si>
  <si>
    <t>كهگيلويه و بوير احمد</t>
  </si>
  <si>
    <t xml:space="preserve">کل صنعت </t>
  </si>
  <si>
    <t xml:space="preserve">کل کشور </t>
  </si>
  <si>
    <t>مشخصات كلی طرح</t>
  </si>
  <si>
    <t>هدف كلی طرح</t>
  </si>
  <si>
    <t>جامعه‌ی هدف</t>
  </si>
  <si>
    <t>واحد آماری</t>
  </si>
  <si>
    <t>زمان آماری</t>
  </si>
  <si>
    <t>واحد آماري در اين طرح، يك كارگاه صنعتي مستقل و متبوع  10 نفر كاركن و بيش تر است.</t>
  </si>
  <si>
    <t>زمان آمارگيري</t>
  </si>
  <si>
    <t>روش آمارگيري</t>
  </si>
  <si>
    <t xml:space="preserve">در اين طرح ، كارگاه‌هاي صنعتي 50 نفر كاركن و بيش تر و کارگاه‌هایی که اطلاعات مالی آنها در سازمان بورس و سازمان حسابرسی قابل دسترسی می باشد به صورت سرشماری و در مورد كارگاه‌هاي صنعتي 49-10 نفر كاركن به صورت نمونه گیری و بر حسب مورد آمارگیری می‌شود. </t>
  </si>
  <si>
    <t>كارگاه صنعتي</t>
  </si>
  <si>
    <t>كارگاه صنعتي مكان ثابتي است كه در آن مجموعه‌اي از سرمايه و نيروي كار به منظور توليد يك يا چند محصول صنعتي به كار گرفته شده است.</t>
  </si>
  <si>
    <t>كارگاه صنعتي 10 نفر کارکن و بيش‌تر</t>
  </si>
  <si>
    <t xml:space="preserve">آب مصرف شده </t>
  </si>
  <si>
    <t>روش نمونه‌گیری</t>
  </si>
  <si>
    <t>تعداد نمونه</t>
  </si>
  <si>
    <t xml:space="preserve">روش جمع آوري داده ها  </t>
  </si>
  <si>
    <t>طبقه‌بندی استاندارد آماری</t>
  </si>
  <si>
    <t>در تدوين و انتشار اين نشريه از طبقه‌بندي بين‌المللي فعاليت‌هاي اقتصادي (I.S.I.C) ويرايش چهارم استفاده شده است‌.</t>
  </si>
  <si>
    <t>تواتر تولید</t>
  </si>
  <si>
    <t>تواتر تولید آمار در این طرح به صورت سالانه است.</t>
  </si>
  <si>
    <t>در اين آمارگيري، اطلاعات به صورت مصاحبه‌ي مستقيم با مسئول يا مدير كارگاه صنعتي(واحد آماري) یا به صورت پستی، ایمیل و فکس گردآوري و در پرسشنامه مورد نظر درج مي‌شود.</t>
  </si>
  <si>
    <t xml:space="preserve">چارچوب نمونه گیری </t>
  </si>
  <si>
    <t xml:space="preserve">کارگاههای صنعتی ده نفر کارکن و بیشتر به دو زیرجامعه تقسیم می‌شوند:
الف) کارگاههای صنعتی 50 کارکن و بیشتر که در زیرجامعه‌ی سرشماری قرار دارند و برای همه‌ی آن‌ها پرسشنامه تکمیل می‌‌شود.
ب) کارگاههای صنعتی 10 تا 49 کارکن که در زیرجامعه‌ی نمونه‌گیری قرار داده شده‌اند. روش نمونه‌گیری در این زیرجامعه احتمالی تصادفی طبقه بندی است. طبقات براساس تعداد کارکنان در سطح استان- رشته فعالیت مشخص شده اند. </t>
  </si>
  <si>
    <t>کارگاه صنعتی فعال</t>
  </si>
  <si>
    <t>کارگاهی فعال محسوب می‌شود که حداقل 30 روز کاری را در سال به طور پیوسته یا منقطع به فعالیت تولیدی اشتغال داشته باشد.</t>
  </si>
  <si>
    <t>کارگاه صنعتی غیرفعال</t>
  </si>
  <si>
    <t>کارگاه‌های زیر کارگاه صنعتی غیرفعال محسوب می‌شوند:</t>
  </si>
  <si>
    <t>1-     کارگاه به علت تعمیرات یا به هر دلیل دیگری، در زمان آماری به صورت موقت تعطيل بوده و در سال مورد نظر هیچ‌گونه فعالیت تولیدی نداشته است اما دوباره به فعالیت صنعتی خود ادامه می‌دهد.</t>
  </si>
  <si>
    <t>2-     کارگاه در زمان آماری تعطیل دائم شده است و هیچ‌گونه فعالیت تولیدی در آینده نخواهد داشت.</t>
  </si>
  <si>
    <t>جامعه ي هدف اين طرح، كليه كارگاه‌هاي صنعتي 10 نفر كاركن و بيش تر كشور در سال 1400 است.</t>
  </si>
  <si>
    <t>زمان آماري در اين طرح سال 1400 است.</t>
  </si>
  <si>
    <t xml:space="preserve">آمارگيري از كارگاه‌هاي صنعتي 10 نفر كاركن و بيش تر  از 12 تیر سال 1401 شروع می شود و 10 مهر همان سال تاریخ اتمام اجرای طرح در استان ها می باشد. </t>
  </si>
  <si>
    <t>چارچوب مورد استفاده در اين طرح، فهرست كارگاه‌هاي صنعتي مستقل و متبوع 10 نفر کارکن و بيش‌تر است كه با استفاده از نتايج سرشماري عمومي كارگاهي سال 1381 تهيه و در سال‌هاي 1394 تا 1400 با استفاده از اطلاعات دستگاه‌های اجرایی بهنگام شده است.</t>
  </si>
  <si>
    <t>كارگاه صنعتی فعالی است كه در سال 1400، متوسط تعداد كاركنان آن، 10 نفر و بيش‌تر بوده است.</t>
  </si>
  <si>
    <t xml:space="preserve">مقدار آب مصرف شده کارگاه بر حسب متر مكعب طی سال 1400 است. </t>
  </si>
  <si>
    <t>مقدار آب خریداری شده کارگاه را بر حسب متر مكعب در طول سال 1400 است.</t>
  </si>
  <si>
    <t>تفاوت در سرجمع‌ها به دلیل براورد و گرد شدن ارقام است .</t>
  </si>
  <si>
    <t>25400 کارگاه</t>
  </si>
  <si>
    <t xml:space="preserve">هدف کلی طرح تهیه براورد مقدار آب مصرفی كارگاه‌هاي صنعتي به‌تفكيك استان و نوع فعالیت اقتصادی کارگاه‌های آمارگیری شده که با توجه به توصیه‌های سازمان ملل بر اساس کدهای دو رقمی ISIC-Rev4 است، ارائه مي‌دهد. </t>
  </si>
  <si>
    <t xml:space="preserve">آب مصرفی </t>
  </si>
  <si>
    <t xml:space="preserve">کد استان </t>
  </si>
  <si>
    <t>جدول 2- تعداد کارگاه‌های فعال صنعتی 10 نفر کارکن و بیشتر به‌تفکیک استان : سال 1400</t>
  </si>
  <si>
    <t>جدول 1- تعداد کارگاه‌های فعال صنعتی 10 نفر کارکن و بیشتر به‌تفکیک فعالیت: سال  1400</t>
  </si>
  <si>
    <t>جدول 3- مقدار آب مصرفی در کارگاه‌های صنعتی 10 نفر کارکن و بیشتر به‌تفکیک فعالیت: سال 1400     (متر مکعب)</t>
  </si>
  <si>
    <t>جدول 4- مقدار آب مصرفی در کارگاه‌های صنعتی 10 نفر کارکن و بیشتر به‌تفکیک استان: سال 1400(متر مکعب)</t>
  </si>
  <si>
    <t>جدول 5- مقدار آب خریداری شده در کارگاه‌های صنعتی 10 نفر کارکن و بیشتر به‌تفکیک فعالیت: سال 1400  (متر مکعب)</t>
  </si>
  <si>
    <t>جدول 6-  مقدار آب خریداری شده در کارگاه‌های صنعتی 10 نفر کارکن و بیشتر به‌تفکیک استان: سال 1400 (متر مکعب)</t>
  </si>
  <si>
    <t>نتايج آمارگیري از مقدار آب مصرفی کارگاه‌هاي صنعتی 10 نفر کارکن و بیشتر: 1400</t>
  </si>
  <si>
    <t>جدول 1- تعداد کارگاه‌های فعال صنعتی 10 نفر کارکن و بیشتر به‌تفکیک فعالیت: 1400</t>
  </si>
  <si>
    <t>جدول 3- مقدار آب مصرفی در کارگاه‌های صنعتی 10 نفر کارکن و بیشتر به‌تفکیک فعالیت: 1400</t>
  </si>
  <si>
    <t>جدول 2- تعداد کارگاه‌های فعال صنعتی 10 نفر کارکن و بیشتر به‌تفکیک استان : 1400</t>
  </si>
  <si>
    <t>جدول 4- مقدار آب مصرفی در کارگاه‌های صنعتی 10 نفر کارکن و بیشتر به‌تفکیک استان: 1400</t>
  </si>
  <si>
    <t>جدول 5- مقدار آب خریداری شده در کارگاه‌های صنعتی 10 نفر کارکن و بیشتر به‌تفکیک فعالیت: 1400</t>
  </si>
  <si>
    <t>جدول 6-  مقدار آب خریداری شده در کارگاه‌های صنعتی 10 نفر کارکن و بیشتر به‌تفکیک استان: 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</si>
</sst>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5" formatCode="_(* #,##0_);_(* \(#,##0\);_(* &quot;-&quot;??_);_(@_)"/>
  </numFmts>
  <fonts count="17">
    <font>
      <sz val="10"/>
      <name val="MS Sans Serif"/>
      <family val="2"/>
      <charset val="178"/>
    </font>
    <font>
      <sz val="10"/>
      <name val="MS Sans Serif"/>
      <family val="2"/>
      <charset val="178"/>
    </font>
    <font>
      <u/>
      <sz val="10"/>
      <color indexed="12"/>
      <name val="MS Sans Serif"/>
      <family val="2"/>
      <charset val="178"/>
    </font>
    <font>
      <sz val="10"/>
      <name val="Tahoma"/>
      <family val="2"/>
    </font>
    <font>
      <b/>
      <sz val="10"/>
      <name val="Tahoma"/>
      <family val="2"/>
    </font>
    <font>
      <b/>
      <shadow/>
      <sz val="10"/>
      <name val="Tahoma"/>
      <family val="2"/>
    </font>
    <font>
      <b/>
      <u/>
      <sz val="10"/>
      <name val="Tahoma"/>
      <family val="2"/>
    </font>
    <font>
      <b/>
      <shadow/>
      <sz val="12"/>
      <name val="Tahoma"/>
      <family val="2"/>
    </font>
    <font>
      <sz val="11"/>
      <color theme="1"/>
      <name val="Calibri"/>
      <family val="2"/>
      <scheme val="minor"/>
    </font>
    <font>
      <u/>
      <sz val="11"/>
      <color theme="10"/>
      <name val="Calibri"/>
      <family val="2"/>
      <scheme val="minor"/>
    </font>
    <font>
      <sz val="10"/>
      <color theme="1"/>
      <name val="Tahoma"/>
      <family val="2"/>
    </font>
    <font>
      <b/>
      <sz val="10"/>
      <color rgb="FF000000"/>
      <name val="Tahoma"/>
      <family val="2"/>
    </font>
    <font>
      <sz val="10"/>
      <color rgb="FF000000"/>
      <name val="Tahoma"/>
      <family val="2"/>
    </font>
    <font>
      <sz val="12"/>
      <color theme="1"/>
      <name val="B Mitra"/>
      <charset val="178"/>
    </font>
    <font>
      <b/>
      <sz val="11"/>
      <color rgb="FF000000"/>
      <name val="Tahoma"/>
      <family val="2"/>
    </font>
    <font>
      <b/>
      <sz val="10"/>
      <color theme="1"/>
      <name val="Tahoma"/>
      <family val="2"/>
    </font>
    <font>
      <b/>
      <sz val="10"/>
      <color rgb="FFFF0000"/>
      <name val="Tahoma"/>
      <family val="2"/>
    </font>
  </fonts>
  <fills count="3">
    <fill>
      <patternFill patternType="none"/>
    </fill>
    <fill>
      <patternFill patternType="gray125"/>
    </fill>
    <fill>
      <patternFill patternType="solid">
        <fgColor theme="0" tint="-0.14999847407452621"/>
        <bgColor indexed="64"/>
      </patternFill>
    </fill>
  </fills>
  <borders count="28">
    <border>
      <left/>
      <right/>
      <top/>
      <bottom/>
      <diagonal/>
    </border>
    <border>
      <left style="thin">
        <color indexed="64"/>
      </left>
      <right/>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right style="thick">
        <color theme="8"/>
      </right>
      <top/>
      <bottom/>
      <diagonal/>
    </border>
    <border>
      <left/>
      <right/>
      <top style="thick">
        <color theme="8"/>
      </top>
      <bottom/>
      <diagonal/>
    </border>
    <border>
      <left/>
      <right style="thick">
        <color theme="8"/>
      </right>
      <top style="thick">
        <color theme="8"/>
      </top>
      <bottom/>
      <diagonal/>
    </border>
    <border>
      <left style="thick">
        <color theme="8"/>
      </left>
      <right style="thick">
        <color theme="8"/>
      </right>
      <top/>
      <bottom/>
      <diagonal/>
    </border>
  </borders>
  <cellStyleXfs count="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9" fillId="0" borderId="0" applyNumberFormat="0" applyFill="0" applyBorder="0" applyAlignment="0" applyProtection="0"/>
    <xf numFmtId="0" fontId="8" fillId="0" borderId="0"/>
  </cellStyleXfs>
  <cellXfs count="84">
    <xf numFmtId="0" fontId="0" fillId="0" borderId="0" xfId="0"/>
    <xf numFmtId="0" fontId="10" fillId="0" borderId="0" xfId="0" applyFont="1" applyAlignment="1">
      <alignment wrapText="1"/>
    </xf>
    <xf numFmtId="0" fontId="11" fillId="0" borderId="0" xfId="0" applyFont="1" applyAlignment="1">
      <alignment horizontal="right" vertical="center" wrapText="1" readingOrder="2"/>
    </xf>
    <xf numFmtId="0" fontId="12" fillId="0" borderId="0" xfId="0" applyFont="1" applyAlignment="1">
      <alignment horizontal="right" vertical="center" wrapText="1" readingOrder="2"/>
    </xf>
    <xf numFmtId="0" fontId="10" fillId="0" borderId="0" xfId="0" applyFont="1"/>
    <xf numFmtId="0" fontId="0" fillId="0" borderId="24" xfId="0" applyFill="1" applyBorder="1"/>
    <xf numFmtId="0" fontId="0" fillId="0" borderId="0" xfId="0" applyFill="1"/>
    <xf numFmtId="0" fontId="13" fillId="0" borderId="25" xfId="0" applyFont="1" applyFill="1" applyBorder="1" applyAlignment="1">
      <alignment horizontal="center" vertical="center" wrapText="1"/>
    </xf>
    <xf numFmtId="0" fontId="3" fillId="0" borderId="0" xfId="0" applyFont="1"/>
    <xf numFmtId="0" fontId="3" fillId="0" borderId="0" xfId="0" applyFont="1" applyFill="1"/>
    <xf numFmtId="0" fontId="3" fillId="0" borderId="0" xfId="0" applyFont="1" applyFill="1" applyAlignment="1">
      <alignment horizontal="right"/>
    </xf>
    <xf numFmtId="0" fontId="4" fillId="0" borderId="1" xfId="0" applyFont="1" applyFill="1" applyBorder="1" applyAlignment="1">
      <alignment vertical="center" readingOrder="2"/>
    </xf>
    <xf numFmtId="0" fontId="4" fillId="0" borderId="0" xfId="0" applyFont="1" applyFill="1" applyBorder="1" applyAlignment="1">
      <alignment vertical="center" readingOrder="2"/>
    </xf>
    <xf numFmtId="0" fontId="5" fillId="0" borderId="0" xfId="0" applyFont="1" applyFill="1" applyAlignment="1">
      <alignment vertical="center" readingOrder="2"/>
    </xf>
    <xf numFmtId="0" fontId="4" fillId="0" borderId="0" xfId="0" applyFont="1" applyFill="1"/>
    <xf numFmtId="0" fontId="4" fillId="0" borderId="0" xfId="0" applyFont="1" applyFill="1" applyAlignment="1">
      <alignment horizontal="right"/>
    </xf>
    <xf numFmtId="0" fontId="7" fillId="0" borderId="0" xfId="0" applyFont="1" applyFill="1" applyAlignment="1">
      <alignment vertical="center" readingOrder="2"/>
    </xf>
    <xf numFmtId="0" fontId="11" fillId="0" borderId="0" xfId="0" applyFont="1" applyFill="1" applyAlignment="1">
      <alignment vertical="center" wrapText="1" readingOrder="2"/>
    </xf>
    <xf numFmtId="0" fontId="12" fillId="0" borderId="0" xfId="0" applyFont="1" applyAlignment="1">
      <alignment vertical="center" wrapText="1" readingOrder="2"/>
    </xf>
    <xf numFmtId="0" fontId="11" fillId="0" borderId="0" xfId="0" applyFont="1" applyAlignment="1">
      <alignment vertical="center" wrapText="1" readingOrder="2"/>
    </xf>
    <xf numFmtId="0" fontId="12" fillId="0" borderId="0" xfId="0" applyFont="1" applyFill="1" applyAlignment="1">
      <alignment vertical="center" wrapText="1" readingOrder="2"/>
    </xf>
    <xf numFmtId="0" fontId="14" fillId="0" borderId="0" xfId="0" applyFont="1" applyAlignment="1">
      <alignment horizontal="center" vertical="center" wrapText="1" readingOrder="2"/>
    </xf>
    <xf numFmtId="0" fontId="10" fillId="2" borderId="26" xfId="0" applyFont="1" applyFill="1" applyBorder="1" applyAlignment="1">
      <alignment horizontal="center" vertical="center" wrapText="1"/>
    </xf>
    <xf numFmtId="0" fontId="15" fillId="2" borderId="27" xfId="0" applyFont="1" applyFill="1" applyBorder="1" applyAlignment="1">
      <alignment horizontal="center" vertical="center" wrapText="1" readingOrder="2"/>
    </xf>
    <xf numFmtId="0" fontId="10" fillId="2" borderId="24" xfId="0" applyFont="1" applyFill="1" applyBorder="1" applyAlignment="1">
      <alignment horizontal="center" vertical="center" wrapText="1" readingOrder="2"/>
    </xf>
    <xf numFmtId="0" fontId="15" fillId="2" borderId="24" xfId="0" applyFont="1" applyFill="1" applyBorder="1" applyAlignment="1">
      <alignment horizontal="center" vertical="center" wrapText="1" readingOrder="2"/>
    </xf>
    <xf numFmtId="1" fontId="4" fillId="0" borderId="0" xfId="0" applyNumberFormat="1" applyFont="1" applyBorder="1" applyAlignment="1"/>
    <xf numFmtId="3" fontId="3" fillId="0" borderId="0" xfId="0" applyNumberFormat="1" applyFont="1"/>
    <xf numFmtId="3" fontId="16" fillId="0" borderId="0" xfId="0" applyNumberFormat="1" applyFont="1"/>
    <xf numFmtId="0" fontId="4" fillId="2" borderId="2" xfId="0" applyFont="1" applyFill="1" applyBorder="1" applyAlignment="1">
      <alignment horizontal="center" vertical="center" wrapText="1"/>
    </xf>
    <xf numFmtId="0" fontId="4" fillId="0" borderId="3" xfId="0" applyFont="1" applyBorder="1" applyAlignment="1">
      <alignment horizontal="right" vertical="center" wrapText="1"/>
    </xf>
    <xf numFmtId="0" fontId="4" fillId="0" borderId="4" xfId="0" applyFont="1" applyBorder="1" applyAlignment="1">
      <alignment vertical="center" wrapText="1"/>
    </xf>
    <xf numFmtId="1" fontId="3" fillId="0" borderId="5" xfId="0" applyNumberFormat="1" applyFont="1" applyBorder="1" applyAlignment="1">
      <alignment horizontal="center" vertical="center"/>
    </xf>
    <xf numFmtId="0" fontId="4" fillId="0" borderId="3" xfId="0" applyNumberFormat="1" applyFont="1" applyBorder="1" applyAlignment="1">
      <alignment horizontal="right" vertical="center"/>
    </xf>
    <xf numFmtId="0" fontId="4" fillId="0" borderId="6" xfId="0" applyNumberFormat="1" applyFont="1" applyBorder="1" applyAlignment="1">
      <alignment horizontal="right" vertical="center"/>
    </xf>
    <xf numFmtId="1" fontId="4" fillId="0" borderId="7" xfId="0" applyNumberFormat="1" applyFont="1" applyBorder="1" applyAlignment="1">
      <alignment horizontal="right" vertical="center"/>
    </xf>
    <xf numFmtId="1" fontId="3" fillId="0" borderId="8" xfId="0" applyNumberFormat="1" applyFont="1" applyBorder="1" applyAlignment="1">
      <alignment horizontal="center" vertical="center"/>
    </xf>
    <xf numFmtId="3" fontId="3" fillId="0" borderId="0" xfId="0" applyNumberFormat="1" applyFont="1" applyAlignment="1">
      <alignment horizontal="left"/>
    </xf>
    <xf numFmtId="1" fontId="16" fillId="0" borderId="0" xfId="0" applyNumberFormat="1" applyFont="1" applyBorder="1" applyAlignment="1">
      <alignment horizontal="right"/>
    </xf>
    <xf numFmtId="0" fontId="4" fillId="2" borderId="5" xfId="0" applyFont="1" applyFill="1" applyBorder="1" applyAlignment="1">
      <alignment horizontal="center" vertical="center"/>
    </xf>
    <xf numFmtId="0" fontId="4" fillId="0" borderId="3" xfId="0" applyFont="1" applyBorder="1" applyAlignment="1">
      <alignment vertical="center"/>
    </xf>
    <xf numFmtId="0" fontId="3" fillId="0" borderId="5" xfId="0" applyFont="1" applyBorder="1" applyAlignment="1">
      <alignment vertical="center"/>
    </xf>
    <xf numFmtId="0" fontId="4" fillId="0" borderId="6" xfId="0" applyFont="1" applyBorder="1" applyAlignment="1">
      <alignment vertical="center"/>
    </xf>
    <xf numFmtId="0" fontId="3" fillId="0" borderId="9" xfId="0" applyFont="1" applyBorder="1" applyAlignment="1">
      <alignment vertical="center"/>
    </xf>
    <xf numFmtId="1" fontId="4" fillId="2" borderId="5" xfId="0" applyNumberFormat="1" applyFont="1" applyFill="1" applyBorder="1" applyAlignment="1">
      <alignment horizontal="center" vertical="center"/>
    </xf>
    <xf numFmtId="1" fontId="4" fillId="0" borderId="10" xfId="0" applyNumberFormat="1" applyFont="1" applyBorder="1" applyAlignment="1">
      <alignment vertical="center"/>
    </xf>
    <xf numFmtId="3" fontId="3" fillId="0" borderId="11" xfId="0" applyNumberFormat="1" applyFont="1" applyBorder="1" applyAlignment="1">
      <alignment vertical="center"/>
    </xf>
    <xf numFmtId="3" fontId="3" fillId="0" borderId="8" xfId="0" applyNumberFormat="1" applyFont="1" applyBorder="1" applyAlignment="1">
      <alignment vertical="center"/>
    </xf>
    <xf numFmtId="1" fontId="4" fillId="2" borderId="11" xfId="0" applyNumberFormat="1" applyFont="1" applyFill="1" applyBorder="1" applyAlignment="1">
      <alignment horizontal="center" vertical="center"/>
    </xf>
    <xf numFmtId="175" fontId="3" fillId="0" borderId="11" xfId="1" applyNumberFormat="1" applyFont="1" applyBorder="1" applyAlignment="1">
      <alignment vertical="center"/>
    </xf>
    <xf numFmtId="0" fontId="4" fillId="0" borderId="12" xfId="0" applyFont="1" applyBorder="1" applyAlignment="1">
      <alignment vertical="center"/>
    </xf>
    <xf numFmtId="0" fontId="4" fillId="0" borderId="10" xfId="0" applyNumberFormat="1" applyFont="1" applyBorder="1" applyAlignment="1">
      <alignment horizontal="right" vertical="center"/>
    </xf>
    <xf numFmtId="0" fontId="4" fillId="0" borderId="13" xfId="0" applyFont="1" applyBorder="1" applyAlignment="1">
      <alignment vertical="center"/>
    </xf>
    <xf numFmtId="175" fontId="3" fillId="0" borderId="8" xfId="1" applyNumberFormat="1" applyFont="1" applyBorder="1" applyAlignment="1">
      <alignment vertical="center"/>
    </xf>
    <xf numFmtId="1" fontId="4" fillId="0" borderId="3" xfId="0" applyNumberFormat="1" applyFont="1" applyBorder="1" applyAlignment="1">
      <alignment horizontal="right" vertical="center"/>
    </xf>
    <xf numFmtId="175" fontId="3" fillId="0" borderId="5" xfId="1" applyNumberFormat="1" applyFont="1" applyBorder="1" applyAlignment="1">
      <alignment vertical="center"/>
    </xf>
    <xf numFmtId="175" fontId="3" fillId="0" borderId="9" xfId="1" applyNumberFormat="1" applyFont="1" applyBorder="1" applyAlignment="1">
      <alignment vertical="center"/>
    </xf>
    <xf numFmtId="1" fontId="4" fillId="0" borderId="0" xfId="0" applyNumberFormat="1" applyFont="1" applyAlignment="1"/>
    <xf numFmtId="0" fontId="4" fillId="2" borderId="4" xfId="0" applyFont="1" applyFill="1" applyBorder="1" applyAlignment="1">
      <alignment horizontal="center" vertical="center"/>
    </xf>
    <xf numFmtId="1" fontId="4" fillId="2" borderId="14" xfId="0" applyNumberFormat="1" applyFont="1" applyFill="1" applyBorder="1" applyAlignment="1">
      <alignment horizontal="center" vertical="center"/>
    </xf>
    <xf numFmtId="1" fontId="4" fillId="2" borderId="15" xfId="0" applyNumberFormat="1" applyFont="1" applyFill="1" applyBorder="1" applyAlignment="1">
      <alignment horizontal="center" vertical="center"/>
    </xf>
    <xf numFmtId="0" fontId="4" fillId="0" borderId="11" xfId="0" applyFont="1" applyBorder="1" applyAlignment="1">
      <alignment horizontal="center" vertical="center" wrapText="1"/>
    </xf>
    <xf numFmtId="0" fontId="4" fillId="2" borderId="16" xfId="0" applyFont="1" applyFill="1" applyBorder="1" applyAlignment="1">
      <alignment horizontal="center" vertical="center" wrapText="1"/>
    </xf>
    <xf numFmtId="1" fontId="4" fillId="0" borderId="17" xfId="0" applyNumberFormat="1" applyFont="1" applyBorder="1" applyAlignment="1"/>
    <xf numFmtId="0" fontId="8" fillId="0" borderId="0" xfId="4"/>
    <xf numFmtId="1" fontId="16" fillId="0" borderId="0" xfId="0" applyNumberFormat="1" applyFont="1" applyBorder="1" applyAlignment="1"/>
    <xf numFmtId="1" fontId="6" fillId="0" borderId="0" xfId="2" applyNumberFormat="1" applyFont="1" applyFill="1" applyBorder="1" applyAlignment="1">
      <alignment horizontal="right"/>
    </xf>
    <xf numFmtId="0" fontId="4" fillId="2" borderId="18"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4" xfId="0" applyFont="1" applyFill="1" applyBorder="1" applyAlignment="1">
      <alignment horizontal="center" vertical="center"/>
    </xf>
    <xf numFmtId="1" fontId="4" fillId="0" borderId="0" xfId="0" applyNumberFormat="1" applyFont="1" applyBorder="1" applyAlignment="1">
      <alignment horizontal="right"/>
    </xf>
    <xf numFmtId="0" fontId="4" fillId="0" borderId="20" xfId="0" applyFont="1" applyBorder="1" applyAlignment="1">
      <alignment horizontal="center" vertical="center"/>
    </xf>
    <xf numFmtId="0" fontId="4" fillId="0" borderId="12" xfId="0" applyFont="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10" xfId="0" applyFont="1" applyFill="1" applyBorder="1" applyAlignment="1">
      <alignment horizontal="center" vertical="center"/>
    </xf>
    <xf numFmtId="1" fontId="4" fillId="2" borderId="23" xfId="0" applyNumberFormat="1" applyFont="1" applyFill="1" applyBorder="1" applyAlignment="1">
      <alignment horizontal="center" vertical="center"/>
    </xf>
    <xf numFmtId="1" fontId="4" fillId="2" borderId="10" xfId="0" applyNumberFormat="1" applyFont="1" applyFill="1" applyBorder="1" applyAlignment="1">
      <alignment horizontal="center" vertical="center"/>
    </xf>
    <xf numFmtId="1" fontId="4" fillId="2" borderId="21" xfId="0" applyNumberFormat="1" applyFont="1" applyFill="1" applyBorder="1" applyAlignment="1">
      <alignment horizontal="center" vertical="center"/>
    </xf>
    <xf numFmtId="1" fontId="4" fillId="2" borderId="22" xfId="0" applyNumberFormat="1" applyFont="1" applyFill="1" applyBorder="1" applyAlignment="1">
      <alignment horizontal="center" vertical="center"/>
    </xf>
    <xf numFmtId="0" fontId="4" fillId="0" borderId="20" xfId="0" applyFont="1" applyBorder="1" applyAlignment="1">
      <alignment horizontal="center" vertical="center" wrapText="1"/>
    </xf>
    <xf numFmtId="0" fontId="4" fillId="0" borderId="12" xfId="0" applyFont="1" applyBorder="1" applyAlignment="1">
      <alignment horizontal="center" vertical="center" wrapText="1"/>
    </xf>
  </cellXfs>
  <cellStyles count="5">
    <cellStyle name="Comma" xfId="1" builtinId="3"/>
    <cellStyle name="Hyperlink" xfId="2" builtinId="8"/>
    <cellStyle name="Hyperlink 2" xfId="3" xr:uid="{84C15AC8-CB6A-4737-B4E9-FA932CDFB404}"/>
    <cellStyle name="Normal" xfId="0" builtinId="0"/>
    <cellStyle name="Normal 3" xfId="4" xr:uid="{B963D0FB-4C84-43A9-AA68-EAC42E7363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219074</xdr:colOff>
      <xdr:row>14</xdr:row>
      <xdr:rowOff>9525</xdr:rowOff>
    </xdr:to>
    <xdr:sp macro="" textlink="">
      <xdr:nvSpPr>
        <xdr:cNvPr id="2" name="TextBox 1">
          <a:extLst>
            <a:ext uri="{FF2B5EF4-FFF2-40B4-BE49-F238E27FC236}">
              <a16:creationId xmlns:a16="http://schemas.microsoft.com/office/drawing/2014/main" id="{CA8E7AE7-F54F-ED4D-E10B-EF0190F70CB2}"/>
            </a:ext>
          </a:extLst>
        </xdr:cNvPr>
        <xdr:cNvSpPr txBox="1"/>
      </xdr:nvSpPr>
      <xdr:spPr>
        <a:xfrm>
          <a:off x="146799301" y="0"/>
          <a:ext cx="6819899"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rtl="1"/>
          <a:r>
            <a:rPr lang="fa-IR" sz="1000">
              <a:solidFill>
                <a:schemeClr val="dk1"/>
              </a:solidFill>
              <a:effectLst/>
              <a:latin typeface="Tahoma" panose="020B0604030504040204" pitchFamily="34" charset="0"/>
              <a:ea typeface="Tahoma" panose="020B0604030504040204" pitchFamily="34" charset="0"/>
              <a:cs typeface="Tahoma" panose="020B0604030504040204" pitchFamily="34" charset="0"/>
            </a:rPr>
            <a:t>نشریه نتایج</a:t>
          </a: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آمارگیری از مقدار آب مصرفی در کارگاه‌های صنعتی ده نفر کارکن و بیشتر </a:t>
          </a:r>
          <a:r>
            <a:rPr lang="fa-IR" sz="1000">
              <a:solidFill>
                <a:schemeClr val="dk1"/>
              </a:solidFill>
              <a:effectLst/>
              <a:latin typeface="Tahoma" panose="020B0604030504040204" pitchFamily="34" charset="0"/>
              <a:ea typeface="Tahoma" panose="020B0604030504040204" pitchFamily="34" charset="0"/>
              <a:cs typeface="Tahoma" panose="020B0604030504040204" pitchFamily="34" charset="0"/>
            </a:rPr>
            <a:t>1400</a:t>
          </a:r>
          <a:r>
            <a:rPr lang="ar-SA" sz="1000">
              <a:solidFill>
                <a:schemeClr val="dk1"/>
              </a:solidFill>
              <a:effectLst/>
              <a:latin typeface="Tahoma" panose="020B0604030504040204" pitchFamily="34" charset="0"/>
              <a:ea typeface="Tahoma" panose="020B0604030504040204" pitchFamily="34" charset="0"/>
              <a:cs typeface="Tahoma" panose="020B0604030504040204" pitchFamily="34" charset="0"/>
            </a:rPr>
            <a:t> که حاصل اجرای «طرح  آمارگيري از </a:t>
          </a:r>
          <a:r>
            <a:rPr lang="fa-IR" sz="1000">
              <a:solidFill>
                <a:schemeClr val="dk1"/>
              </a:solidFill>
              <a:effectLst/>
              <a:latin typeface="Tahoma" panose="020B0604030504040204" pitchFamily="34" charset="0"/>
              <a:ea typeface="Tahoma" panose="020B0604030504040204" pitchFamily="34" charset="0"/>
              <a:cs typeface="Tahoma" panose="020B0604030504040204" pitchFamily="34" charset="0"/>
            </a:rPr>
            <a:t>مقدار آب مصرف  کارگاه‌های صنعتی ده نفر کارکن و بیشتر سال 1401 می‌باشد</a:t>
          </a: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ar-SA" sz="1000">
              <a:solidFill>
                <a:schemeClr val="dk1"/>
              </a:solidFill>
              <a:effectLst/>
              <a:latin typeface="Tahoma" panose="020B0604030504040204" pitchFamily="34" charset="0"/>
              <a:ea typeface="Tahoma" panose="020B0604030504040204" pitchFamily="34" charset="0"/>
              <a:cs typeface="Tahoma" panose="020B0604030504040204" pitchFamily="34" charset="0"/>
            </a:rPr>
            <a:t>، نشان مي‌دهد كه:</a:t>
          </a:r>
          <a:endParaRPr lang="en-US" sz="10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rtl="1">
            <a:lnSpc>
              <a:spcPts val="1300"/>
            </a:lnSpc>
          </a:pPr>
          <a:r>
            <a:rPr lang="fa-IR" sz="1000">
              <a:solidFill>
                <a:schemeClr val="dk1"/>
              </a:solidFill>
              <a:effectLst/>
              <a:latin typeface="Tahoma" panose="020B0604030504040204" pitchFamily="34" charset="0"/>
              <a:ea typeface="Tahoma" panose="020B0604030504040204" pitchFamily="34" charset="0"/>
              <a:cs typeface="Tahoma" panose="020B0604030504040204" pitchFamily="34" charset="0"/>
            </a:rPr>
            <a:t>تعداد</a:t>
          </a: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30415 کارگاه فعال صنعتی در کشور وجود دارد. </a:t>
          </a:r>
        </a:p>
        <a:p>
          <a:pPr rtl="1">
            <a:lnSpc>
              <a:spcPts val="1300"/>
            </a:lnSpc>
          </a:pP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مقدار کل آب مصرفی در کارگاه‌های صنعتی ده نفر کارکن و بیشتر در سال 1400 معادل 1522 میلیون متر مکعب است</a:t>
          </a:r>
          <a:r>
            <a:rPr lang="en-US"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a:t>
          </a: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p>
        <a:p>
          <a:pPr rtl="1">
            <a:lnSpc>
              <a:spcPts val="1300"/>
            </a:lnSpc>
          </a:pP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بیشترین سهم  آب مصرفی به ترتیب مربوط به فعالیت "تولید مواد شیمیایی و فراورده‌های شیمیایی" </a:t>
          </a:r>
          <a:r>
            <a:rPr lang="en-US"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با 23.4 درصد، "تولید فلزات پایه"با 22.6 درصد و "تولید فراورده‌های غذایی" با 18.8 درصد می‌باشد.</a:t>
          </a:r>
        </a:p>
        <a:p>
          <a:pPr rtl="1">
            <a:lnSpc>
              <a:spcPts val="1300"/>
            </a:lnSpc>
          </a:pP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از نظر مقدار  آب مصرفی در استان‌های کشور، بیشترین سهم  آب مصرفی به ترتیب مربوط به استان خوزستان با 18.7 درصد، اصفهان با 18.4 درصد و بوشهر با 7.5 درصد می‌باشد.</a:t>
          </a:r>
        </a:p>
        <a:p>
          <a:pPr rtl="1">
            <a:lnSpc>
              <a:spcPts val="1300"/>
            </a:lnSpc>
          </a:pPr>
          <a:endPar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marR="0" indent="0" defTabSz="914400" rtl="1" eaLnBrk="1" fontAlgn="auto" latinLnBrk="0" hangingPunct="1">
            <a:lnSpc>
              <a:spcPct val="100000"/>
            </a:lnSpc>
            <a:spcBef>
              <a:spcPts val="0"/>
            </a:spcBef>
            <a:spcAft>
              <a:spcPts val="0"/>
            </a:spcAft>
            <a:buClrTx/>
            <a:buSzTx/>
            <a:buFontTx/>
            <a:buNone/>
            <a:tabLst/>
            <a:defRPr/>
          </a:pP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مقدار کل آب خریداری شده در کارگاه‌های صنعتی ده نفر کارکن و بیشتر در سال 1400 معادل 1120 میلیون متر مکعب است</a:t>
          </a:r>
          <a:r>
            <a:rPr lang="en-US"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a:t>
          </a: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rtl="1"/>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بیشترین سهم آب خریداری شده به ترتیب مربوط به فعالیت "تولید فلزات پایه" با 24 درصد ، "تولید فراورده‌های غذایی" با 20 درصد و"تولید مواد شیمیایی و فراورده‌های شیمیایی" </a:t>
          </a:r>
          <a:r>
            <a:rPr lang="en-US"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با 19 درصد  می‌باشد.</a:t>
          </a:r>
          <a:endParaRPr lang="en-US"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rtl="1">
            <a:lnSpc>
              <a:spcPts val="1400"/>
            </a:lnSpc>
          </a:pPr>
          <a:r>
            <a:rPr lang="fa-IR"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rPr>
            <a:t>از نظر مقدار آب خریداری شده در استان‌های کشور، بیشترین سهم آب خریداری شده به ترتیب مربوط به استان خوزستان با 22 درصد، اصفهان با 19 درصد و تهران با 7 درصد می‌باشد.</a:t>
          </a:r>
          <a:endParaRPr lang="en-US" sz="1000" baseline="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rtl="1">
            <a:lnSpc>
              <a:spcPts val="1300"/>
            </a:lnSpc>
          </a:pPr>
          <a:endParaRPr lang="en-US" sz="1100" baseline="0">
            <a:solidFill>
              <a:schemeClr val="dk1"/>
            </a:solidFill>
            <a:effectLst/>
            <a:latin typeface="+mn-lt"/>
            <a:ea typeface="+mn-ea"/>
            <a:cs typeface="B Nazanin" panose="00000400000000000000" pitchFamily="2" charset="-7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_noorini/Downloads/&#1608;&#1740;&#1688;&#1711;&#1740;&#1607;&#1575;%20&#1605;&#1581;&#1740;&#1591;%20&#1586;&#1740;&#1587;&#1578;&#1740;%20&#1705;&#1575;&#1585;&#1711;&#1575;&#1607;%20&#1607;&#1575;&#1740;%20&#1589;&#1606;&#1593;&#1578;&#1740;%2010%20&#1606;&#1601;&#1585;%20&#1705;&#1575;&#1585;&#1705;&#1606;%20&#1608;%20&#1576;&#1740;&#1588;&#1578;&#1585;%201394%20&#1608;%2013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فهرست"/>
      <sheetName val="توضیحات ضروری"/>
      <sheetName val="تعداد کارگاه آیسیک"/>
      <sheetName val="تعداد کارگاه استان"/>
      <sheetName val="آب مصرفی آیسیک"/>
      <sheetName val="آب مصرفی استان"/>
      <sheetName val="آب خریدار آیسیک"/>
      <sheetName val="آب خریداری استان"/>
      <sheetName val="فاضلاب آیسیک"/>
      <sheetName val="فاضلاب استان"/>
      <sheetName val="پسماند آیسیک"/>
      <sheetName val="پسماند استان"/>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29AEB-93B3-460F-8A8A-13A9E2B596EA}">
  <dimension ref="A1:L8"/>
  <sheetViews>
    <sheetView rightToLeft="1" tabSelected="1" workbookViewId="0">
      <selection activeCell="A9" sqref="A9"/>
    </sheetView>
  </sheetViews>
  <sheetFormatPr defaultRowHeight="35.25" customHeight="1"/>
  <cols>
    <col min="1" max="1" width="104.85546875" style="9" customWidth="1"/>
    <col min="2" max="16384" width="9.140625" style="9"/>
  </cols>
  <sheetData>
    <row r="1" spans="1:12" ht="35.25" customHeight="1">
      <c r="A1" s="16" t="s">
        <v>115</v>
      </c>
      <c r="B1" s="13"/>
      <c r="C1" s="13"/>
      <c r="D1" s="13"/>
      <c r="E1" s="13"/>
      <c r="F1" s="13"/>
      <c r="G1" s="13"/>
      <c r="H1" s="13"/>
      <c r="I1" s="13"/>
      <c r="J1" s="13"/>
      <c r="K1" s="13"/>
      <c r="L1" s="13"/>
    </row>
    <row r="2" spans="1:12" ht="35.25" customHeight="1">
      <c r="A2" s="11" t="s">
        <v>33</v>
      </c>
      <c r="B2" s="12"/>
      <c r="C2" s="14"/>
      <c r="D2" s="14"/>
      <c r="E2" s="14"/>
      <c r="F2" s="14"/>
      <c r="G2" s="14"/>
      <c r="H2" s="14"/>
      <c r="I2" s="14"/>
      <c r="J2" s="14"/>
      <c r="K2" s="14"/>
    </row>
    <row r="3" spans="1:12" ht="35.25" customHeight="1">
      <c r="A3" s="66" t="s">
        <v>116</v>
      </c>
      <c r="B3" s="66"/>
      <c r="C3" s="66"/>
      <c r="D3" s="66"/>
      <c r="E3" s="66"/>
      <c r="F3" s="66"/>
      <c r="G3" s="66"/>
      <c r="H3" s="66"/>
      <c r="I3" s="66"/>
      <c r="J3" s="66"/>
      <c r="K3" s="14"/>
    </row>
    <row r="4" spans="1:12" ht="35.25" customHeight="1">
      <c r="A4" s="66" t="s">
        <v>118</v>
      </c>
      <c r="B4" s="66"/>
      <c r="C4" s="66"/>
      <c r="D4" s="66"/>
      <c r="E4" s="66"/>
      <c r="F4" s="66"/>
      <c r="G4" s="66"/>
      <c r="H4" s="66"/>
      <c r="I4" s="66"/>
      <c r="J4" s="66"/>
      <c r="K4" s="66"/>
      <c r="L4" s="10"/>
    </row>
    <row r="5" spans="1:12" s="10" customFormat="1" ht="35.25" customHeight="1">
      <c r="A5" s="66" t="s">
        <v>117</v>
      </c>
      <c r="B5" s="66"/>
      <c r="C5" s="66"/>
      <c r="D5" s="66"/>
      <c r="E5" s="66"/>
      <c r="F5" s="66"/>
      <c r="G5" s="66"/>
      <c r="H5" s="66"/>
      <c r="I5" s="66"/>
      <c r="J5" s="66"/>
      <c r="K5" s="66"/>
    </row>
    <row r="6" spans="1:12" s="10" customFormat="1" ht="35.25" customHeight="1">
      <c r="A6" s="66" t="s">
        <v>119</v>
      </c>
      <c r="B6" s="66"/>
      <c r="C6" s="66"/>
      <c r="D6" s="66"/>
      <c r="E6" s="66"/>
      <c r="F6" s="66"/>
      <c r="G6" s="66"/>
      <c r="H6" s="66"/>
      <c r="I6" s="66"/>
      <c r="J6" s="66"/>
      <c r="K6" s="15"/>
    </row>
    <row r="7" spans="1:12" s="10" customFormat="1" ht="35.25" customHeight="1">
      <c r="A7" s="66" t="s">
        <v>120</v>
      </c>
      <c r="B7" s="66"/>
      <c r="C7" s="66"/>
      <c r="D7" s="66"/>
      <c r="E7" s="66"/>
      <c r="F7" s="66"/>
      <c r="G7" s="66"/>
      <c r="H7" s="66"/>
      <c r="I7" s="66"/>
      <c r="J7" s="66"/>
      <c r="K7" s="15"/>
    </row>
    <row r="8" spans="1:12" s="10" customFormat="1" ht="35.25" customHeight="1">
      <c r="A8" s="66" t="s">
        <v>121</v>
      </c>
      <c r="B8" s="66"/>
      <c r="C8" s="66"/>
      <c r="D8" s="66"/>
      <c r="E8" s="66"/>
      <c r="F8" s="66"/>
      <c r="G8" s="66"/>
      <c r="H8" s="66"/>
      <c r="I8" s="66"/>
      <c r="J8" s="66"/>
      <c r="K8" s="15"/>
    </row>
  </sheetData>
  <mergeCells count="6">
    <mergeCell ref="A7:J7"/>
    <mergeCell ref="A8:J8"/>
    <mergeCell ref="A3:J3"/>
    <mergeCell ref="A4:K4"/>
    <mergeCell ref="A5:K5"/>
    <mergeCell ref="A6:J6"/>
  </mergeCells>
  <hyperlinks>
    <hyperlink ref="A4:K4" location="'تعداد کارگاه استان'!A1" display="جدول 2 -تعداد کارگاه های فعال صنعتی 10 نفر کارکن و بیشتر به تفکیک استان : 1394 و 1395" xr:uid="{582D2228-8444-429F-B305-C9D98B07B410}"/>
    <hyperlink ref="A5:K5" location="'آب مصرفی آیسیک'!A1" display="جدول 3- مقدار آب مصرفی در کارگاه های صنعتی 10 نفر کارکن و بیش تر به تفکیک فعالیت: 1395-1394   " xr:uid="{57315D44-1676-4CDB-BE2F-88B794BBEF79}"/>
    <hyperlink ref="A6:J6" location="'آب مصرفی استان'!A1" display="جدول 4- مقدار آب مصرفی در کارگاه های صنعتی 10 نفر کارکن و بیش تر به تفکیک استان: 1395-1394" xr:uid="{E7861ED4-33E0-48FA-BE8C-E71E86923218}"/>
    <hyperlink ref="A7:J7" location="'آب خریدار آیسیک'!A1" display="جدول 5- مقدار آب خریداری شده در کارگاه های صنعتی 10 نفر کارکن و بیش تر به تفکیک فعالیت: 1395-1394    " xr:uid="{DB9B2C1B-5555-417A-B929-81D6D796C138}"/>
    <hyperlink ref="A8:J8" location="'آب خریداری استان'!A1" display="جدول 6-  مقدار آب خریداری شده در کارگاه های صنعتی 10 نفر کارکن و بیش تر به تفکیک استان: 1395-1394" xr:uid="{A46D3818-FD98-441B-966B-8229369AAF9C}"/>
    <hyperlink ref="A3:J3" location="'تعداد کارگاه آیسیک'!A1" display="جدول 1 - تعداد کارگاه های فعال صنعتی 10 نفر کارکن و بیشتر به تفکیک فعالیت : 1394 و 1395" xr:uid="{CC960C49-DDB7-4277-8F42-95E60579899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CBAC-D82C-40F0-B83B-AEA8490723ED}">
  <dimension ref="A1:A35"/>
  <sheetViews>
    <sheetView rightToLeft="1" workbookViewId="0">
      <selection activeCell="A19" sqref="A19"/>
    </sheetView>
  </sheetViews>
  <sheetFormatPr defaultRowHeight="32.25" customHeight="1"/>
  <cols>
    <col min="1" max="1" width="130.28515625" style="8" customWidth="1"/>
    <col min="2" max="16384" width="9.140625" style="8"/>
  </cols>
  <sheetData>
    <row r="1" spans="1:1" s="1" customFormat="1" ht="44.25" customHeight="1">
      <c r="A1" s="21" t="s">
        <v>68</v>
      </c>
    </row>
    <row r="2" spans="1:1" s="1" customFormat="1" ht="32.25" customHeight="1">
      <c r="A2" s="17" t="s">
        <v>69</v>
      </c>
    </row>
    <row r="3" spans="1:1" s="1" customFormat="1" ht="32.25" customHeight="1">
      <c r="A3" s="18" t="s">
        <v>106</v>
      </c>
    </row>
    <row r="4" spans="1:1" s="1" customFormat="1" ht="32.25" customHeight="1">
      <c r="A4" s="17" t="s">
        <v>70</v>
      </c>
    </row>
    <row r="5" spans="1:1" s="1" customFormat="1" ht="32.25" customHeight="1">
      <c r="A5" s="18" t="s">
        <v>97</v>
      </c>
    </row>
    <row r="6" spans="1:1" s="4" customFormat="1" ht="32.25" customHeight="1">
      <c r="A6" s="17" t="s">
        <v>71</v>
      </c>
    </row>
    <row r="7" spans="1:1" s="4" customFormat="1" ht="32.25" customHeight="1">
      <c r="A7" s="18" t="s">
        <v>73</v>
      </c>
    </row>
    <row r="8" spans="1:1" s="4" customFormat="1" ht="32.25" customHeight="1">
      <c r="A8" s="17" t="s">
        <v>72</v>
      </c>
    </row>
    <row r="9" spans="1:1" s="4" customFormat="1" ht="32.25" customHeight="1">
      <c r="A9" s="18" t="s">
        <v>98</v>
      </c>
    </row>
    <row r="10" spans="1:1" s="4" customFormat="1" ht="32.25" customHeight="1">
      <c r="A10" s="17" t="s">
        <v>74</v>
      </c>
    </row>
    <row r="11" spans="1:1" s="3" customFormat="1" ht="32.25" customHeight="1">
      <c r="A11" s="18" t="s">
        <v>99</v>
      </c>
    </row>
    <row r="12" spans="1:1" s="4" customFormat="1" ht="32.25" customHeight="1">
      <c r="A12" s="17" t="s">
        <v>75</v>
      </c>
    </row>
    <row r="13" spans="1:1" s="3" customFormat="1" ht="32.25" customHeight="1">
      <c r="A13" s="18" t="s">
        <v>76</v>
      </c>
    </row>
    <row r="14" spans="1:1" s="3" customFormat="1" ht="32.25" customHeight="1">
      <c r="A14" s="19" t="s">
        <v>89</v>
      </c>
    </row>
    <row r="15" spans="1:1" s="3" customFormat="1" ht="32.25" customHeight="1">
      <c r="A15" s="18" t="s">
        <v>100</v>
      </c>
    </row>
    <row r="16" spans="1:1" s="3" customFormat="1" ht="32.25" customHeight="1">
      <c r="A16" s="19" t="s">
        <v>81</v>
      </c>
    </row>
    <row r="17" spans="1:1" s="3" customFormat="1" ht="59.25" customHeight="1">
      <c r="A17" s="20" t="s">
        <v>90</v>
      </c>
    </row>
    <row r="18" spans="1:1" s="1" customFormat="1" ht="32.25" customHeight="1">
      <c r="A18" s="17" t="s">
        <v>82</v>
      </c>
    </row>
    <row r="19" spans="1:1" s="1" customFormat="1" ht="32.25" customHeight="1">
      <c r="A19" s="20" t="s">
        <v>105</v>
      </c>
    </row>
    <row r="20" spans="1:1" s="1" customFormat="1" ht="32.25" customHeight="1">
      <c r="A20" s="19" t="s">
        <v>83</v>
      </c>
    </row>
    <row r="21" spans="1:1" s="1" customFormat="1" ht="32.25" customHeight="1">
      <c r="A21" s="18" t="s">
        <v>88</v>
      </c>
    </row>
    <row r="22" spans="1:1" s="4" customFormat="1" ht="32.25" customHeight="1">
      <c r="A22" s="19" t="s">
        <v>84</v>
      </c>
    </row>
    <row r="23" spans="1:1" s="3" customFormat="1" ht="32.25" customHeight="1">
      <c r="A23" s="18" t="s">
        <v>85</v>
      </c>
    </row>
    <row r="24" spans="1:1" s="4" customFormat="1" ht="32.25" customHeight="1">
      <c r="A24" s="19" t="s">
        <v>86</v>
      </c>
    </row>
    <row r="25" spans="1:1" s="18" customFormat="1" ht="32.25" customHeight="1">
      <c r="A25" s="18" t="s">
        <v>87</v>
      </c>
    </row>
    <row r="26" spans="1:1" s="4" customFormat="1" ht="32.25" customHeight="1">
      <c r="A26" s="19"/>
    </row>
    <row r="27" spans="1:1" s="18" customFormat="1" ht="32.25" customHeight="1">
      <c r="A27" s="3"/>
    </row>
    <row r="28" spans="1:1" ht="32.25" customHeight="1">
      <c r="A28" s="2"/>
    </row>
    <row r="29" spans="1:1" ht="32.25" customHeight="1">
      <c r="A29" s="3"/>
    </row>
    <row r="30" spans="1:1" ht="32.25" customHeight="1">
      <c r="A30" s="2"/>
    </row>
    <row r="31" spans="1:1" ht="32.25" customHeight="1">
      <c r="A31" s="3"/>
    </row>
    <row r="32" spans="1:1" ht="32.25" customHeight="1">
      <c r="A32" s="2"/>
    </row>
    <row r="33" spans="1:1" ht="32.25" customHeight="1">
      <c r="A33" s="3"/>
    </row>
    <row r="34" spans="1:1" ht="32.25" customHeight="1">
      <c r="A34" s="2"/>
    </row>
    <row r="35" spans="1:1" ht="32.25" customHeight="1">
      <c r="A35" s="3"/>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F7F96-1E78-4028-91E5-4E0E909FD713}">
  <dimension ref="A1:B16"/>
  <sheetViews>
    <sheetView rightToLeft="1" workbookViewId="0">
      <selection activeCell="B5" sqref="B5"/>
    </sheetView>
  </sheetViews>
  <sheetFormatPr defaultRowHeight="30" customHeight="1"/>
  <cols>
    <col min="2" max="2" width="81.7109375" customWidth="1"/>
  </cols>
  <sheetData>
    <row r="1" spans="1:2" ht="30" customHeight="1" thickTop="1">
      <c r="A1" s="5"/>
      <c r="B1" s="22"/>
    </row>
    <row r="2" spans="1:2" ht="30" customHeight="1">
      <c r="A2" s="5"/>
      <c r="B2" s="23" t="s">
        <v>77</v>
      </c>
    </row>
    <row r="3" spans="1:2" ht="30" customHeight="1">
      <c r="A3" s="5"/>
      <c r="B3" s="24" t="s">
        <v>78</v>
      </c>
    </row>
    <row r="4" spans="1:2" ht="30" customHeight="1">
      <c r="A4" s="5"/>
      <c r="B4" s="25" t="s">
        <v>79</v>
      </c>
    </row>
    <row r="5" spans="1:2" ht="30" customHeight="1">
      <c r="A5" s="5"/>
      <c r="B5" s="24" t="s">
        <v>101</v>
      </c>
    </row>
    <row r="6" spans="1:2" s="6" customFormat="1" ht="30" customHeight="1">
      <c r="A6" s="5"/>
      <c r="B6" s="25" t="s">
        <v>91</v>
      </c>
    </row>
    <row r="7" spans="1:2" s="6" customFormat="1" ht="30" customHeight="1">
      <c r="A7" s="5"/>
      <c r="B7" s="24" t="s">
        <v>92</v>
      </c>
    </row>
    <row r="8" spans="1:2" s="6" customFormat="1" ht="30" customHeight="1">
      <c r="A8" s="5"/>
      <c r="B8" s="25" t="s">
        <v>93</v>
      </c>
    </row>
    <row r="9" spans="1:2" s="6" customFormat="1" ht="30" customHeight="1">
      <c r="A9" s="5"/>
      <c r="B9" s="24" t="s">
        <v>94</v>
      </c>
    </row>
    <row r="10" spans="1:2" s="6" customFormat="1" ht="36.75" customHeight="1">
      <c r="A10" s="5"/>
      <c r="B10" s="24" t="s">
        <v>95</v>
      </c>
    </row>
    <row r="11" spans="1:2" s="6" customFormat="1" ht="30" customHeight="1">
      <c r="A11" s="5"/>
      <c r="B11" s="24" t="s">
        <v>96</v>
      </c>
    </row>
    <row r="12" spans="1:2" ht="30" customHeight="1">
      <c r="A12" s="5"/>
      <c r="B12" s="25" t="s">
        <v>80</v>
      </c>
    </row>
    <row r="13" spans="1:2" ht="30" customHeight="1">
      <c r="A13" s="5"/>
      <c r="B13" s="24" t="s">
        <v>102</v>
      </c>
    </row>
    <row r="14" spans="1:2" ht="30" customHeight="1">
      <c r="A14" s="5"/>
      <c r="B14" s="25" t="s">
        <v>49</v>
      </c>
    </row>
    <row r="15" spans="1:2" ht="30" customHeight="1" thickBot="1">
      <c r="A15" s="5"/>
      <c r="B15" s="24" t="s">
        <v>103</v>
      </c>
    </row>
    <row r="16" spans="1:2" ht="30" customHeight="1" thickTop="1">
      <c r="B16" s="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5773-27A5-4503-89BF-EE68B625D7DB}">
  <dimension ref="A1"/>
  <sheetViews>
    <sheetView rightToLeft="1" workbookViewId="0">
      <selection activeCell="H21" sqref="H21"/>
    </sheetView>
  </sheetViews>
  <sheetFormatPr defaultColWidth="9" defaultRowHeight="15"/>
  <cols>
    <col min="1" max="16384" width="9" style="64"/>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9FE9-B2FD-41CB-9E2C-B5C617E20260}">
  <dimension ref="A1:E46"/>
  <sheetViews>
    <sheetView rightToLeft="1" workbookViewId="0">
      <selection activeCell="A2" sqref="A2:B2"/>
    </sheetView>
  </sheetViews>
  <sheetFormatPr defaultRowHeight="28.5" customHeight="1"/>
  <cols>
    <col min="1" max="1" width="19" style="27" customWidth="1"/>
    <col min="2" max="2" width="53.7109375" style="27" customWidth="1"/>
    <col min="3" max="3" width="18.7109375" style="27" customWidth="1"/>
    <col min="4" max="4" width="9.140625" style="27"/>
    <col min="5" max="5" width="13.140625" style="37" customWidth="1"/>
    <col min="6" max="16384" width="9.140625" style="27"/>
  </cols>
  <sheetData>
    <row r="1" spans="1:5" ht="28.5" customHeight="1">
      <c r="A1" s="28" t="s">
        <v>104</v>
      </c>
      <c r="E1" s="27"/>
    </row>
    <row r="2" spans="1:5" ht="28.5" customHeight="1" thickBot="1">
      <c r="A2" s="71" t="s">
        <v>110</v>
      </c>
      <c r="B2" s="71"/>
      <c r="E2" s="27"/>
    </row>
    <row r="3" spans="1:5" ht="28.5" customHeight="1" thickBot="1">
      <c r="A3" s="67" t="s">
        <v>34</v>
      </c>
      <c r="B3" s="69" t="s">
        <v>35</v>
      </c>
      <c r="C3" s="62" t="s">
        <v>26</v>
      </c>
      <c r="E3" s="27"/>
    </row>
    <row r="4" spans="1:5" ht="28.5" customHeight="1">
      <c r="A4" s="68"/>
      <c r="B4" s="70"/>
      <c r="C4" s="29">
        <v>1400</v>
      </c>
      <c r="E4" s="27"/>
    </row>
    <row r="5" spans="1:5" ht="28.5" customHeight="1">
      <c r="A5" s="30"/>
      <c r="B5" s="31" t="s">
        <v>36</v>
      </c>
      <c r="C5" s="61">
        <v>30415</v>
      </c>
      <c r="E5" s="27"/>
    </row>
    <row r="6" spans="1:5" ht="28.5" customHeight="1">
      <c r="A6" s="33">
        <v>10</v>
      </c>
      <c r="B6" s="31" t="s">
        <v>37</v>
      </c>
      <c r="C6" s="32">
        <v>5434</v>
      </c>
      <c r="E6" s="27"/>
    </row>
    <row r="7" spans="1:5" ht="28.5" customHeight="1">
      <c r="A7" s="33">
        <v>11</v>
      </c>
      <c r="B7" s="31" t="s">
        <v>38</v>
      </c>
      <c r="C7" s="32">
        <v>200</v>
      </c>
      <c r="E7" s="27"/>
    </row>
    <row r="8" spans="1:5" ht="28.5" customHeight="1">
      <c r="A8" s="33">
        <v>12</v>
      </c>
      <c r="B8" s="31" t="s">
        <v>39</v>
      </c>
      <c r="C8" s="32">
        <v>35</v>
      </c>
      <c r="E8" s="27"/>
    </row>
    <row r="9" spans="1:5" ht="28.5" customHeight="1">
      <c r="A9" s="33">
        <v>13</v>
      </c>
      <c r="B9" s="31" t="s">
        <v>40</v>
      </c>
      <c r="C9" s="32">
        <v>1992</v>
      </c>
      <c r="E9" s="27"/>
    </row>
    <row r="10" spans="1:5" ht="28.5" customHeight="1">
      <c r="A10" s="33">
        <v>14</v>
      </c>
      <c r="B10" s="31" t="s">
        <v>41</v>
      </c>
      <c r="C10" s="32">
        <v>447</v>
      </c>
      <c r="E10" s="27"/>
    </row>
    <row r="11" spans="1:5" ht="28.5" customHeight="1">
      <c r="A11" s="33">
        <v>15</v>
      </c>
      <c r="B11" s="31" t="s">
        <v>50</v>
      </c>
      <c r="C11" s="32">
        <v>306</v>
      </c>
      <c r="E11" s="27"/>
    </row>
    <row r="12" spans="1:5" ht="28.5" customHeight="1">
      <c r="A12" s="33">
        <v>16</v>
      </c>
      <c r="B12" s="31" t="s">
        <v>59</v>
      </c>
      <c r="C12" s="32">
        <v>397</v>
      </c>
      <c r="E12" s="27"/>
    </row>
    <row r="13" spans="1:5" ht="28.5" customHeight="1">
      <c r="A13" s="33">
        <v>17</v>
      </c>
      <c r="B13" s="31" t="s">
        <v>51</v>
      </c>
      <c r="C13" s="32">
        <v>792</v>
      </c>
      <c r="E13" s="27"/>
    </row>
    <row r="14" spans="1:5" ht="28.5" customHeight="1">
      <c r="A14" s="33">
        <v>18</v>
      </c>
      <c r="B14" s="31" t="s">
        <v>42</v>
      </c>
      <c r="C14" s="32">
        <v>336</v>
      </c>
      <c r="E14" s="27"/>
    </row>
    <row r="15" spans="1:5" ht="28.5" customHeight="1">
      <c r="A15" s="33">
        <v>19</v>
      </c>
      <c r="B15" s="31" t="s">
        <v>52</v>
      </c>
      <c r="C15" s="32">
        <v>413</v>
      </c>
      <c r="E15" s="27"/>
    </row>
    <row r="16" spans="1:5" ht="28.5" customHeight="1">
      <c r="A16" s="33">
        <v>20</v>
      </c>
      <c r="B16" s="31" t="s">
        <v>60</v>
      </c>
      <c r="C16" s="32">
        <v>2087</v>
      </c>
      <c r="E16" s="27"/>
    </row>
    <row r="17" spans="1:5" ht="28.5" customHeight="1">
      <c r="A17" s="33">
        <v>21</v>
      </c>
      <c r="B17" s="31" t="s">
        <v>61</v>
      </c>
      <c r="C17" s="32">
        <v>367</v>
      </c>
      <c r="E17" s="27"/>
    </row>
    <row r="18" spans="1:5" ht="28.5" customHeight="1">
      <c r="A18" s="33">
        <v>22</v>
      </c>
      <c r="B18" s="31" t="s">
        <v>62</v>
      </c>
      <c r="C18" s="32">
        <v>2842</v>
      </c>
      <c r="E18" s="27"/>
    </row>
    <row r="19" spans="1:5" ht="28.5" customHeight="1">
      <c r="A19" s="33">
        <v>23</v>
      </c>
      <c r="B19" s="31" t="s">
        <v>63</v>
      </c>
      <c r="C19" s="32">
        <v>5105</v>
      </c>
      <c r="E19" s="27"/>
    </row>
    <row r="20" spans="1:5" ht="28.5" customHeight="1">
      <c r="A20" s="33">
        <v>24</v>
      </c>
      <c r="B20" s="31" t="s">
        <v>43</v>
      </c>
      <c r="C20" s="32">
        <v>1414</v>
      </c>
      <c r="E20" s="27"/>
    </row>
    <row r="21" spans="1:5" ht="28.5" customHeight="1">
      <c r="A21" s="33">
        <v>25</v>
      </c>
      <c r="B21" s="31" t="s">
        <v>53</v>
      </c>
      <c r="C21" s="32">
        <v>2478</v>
      </c>
      <c r="E21" s="27"/>
    </row>
    <row r="22" spans="1:5" ht="28.5" customHeight="1">
      <c r="A22" s="33">
        <v>26</v>
      </c>
      <c r="B22" s="31" t="s">
        <v>54</v>
      </c>
      <c r="C22" s="32">
        <v>450</v>
      </c>
      <c r="E22" s="27"/>
    </row>
    <row r="23" spans="1:5" ht="28.5" customHeight="1">
      <c r="A23" s="33">
        <v>27</v>
      </c>
      <c r="B23" s="31" t="s">
        <v>44</v>
      </c>
      <c r="C23" s="32">
        <v>1252</v>
      </c>
      <c r="E23" s="27"/>
    </row>
    <row r="24" spans="1:5" ht="28.5" customHeight="1">
      <c r="A24" s="33">
        <v>28</v>
      </c>
      <c r="B24" s="31" t="s">
        <v>55</v>
      </c>
      <c r="C24" s="32">
        <v>1749</v>
      </c>
      <c r="E24" s="27"/>
    </row>
    <row r="25" spans="1:5" ht="28.5" customHeight="1">
      <c r="A25" s="33">
        <v>29</v>
      </c>
      <c r="B25" s="31" t="s">
        <v>56</v>
      </c>
      <c r="C25" s="32">
        <v>1019</v>
      </c>
      <c r="E25" s="27"/>
    </row>
    <row r="26" spans="1:5" ht="28.5" customHeight="1">
      <c r="A26" s="33">
        <v>30</v>
      </c>
      <c r="B26" s="31" t="s">
        <v>45</v>
      </c>
      <c r="C26" s="32">
        <v>167</v>
      </c>
      <c r="E26" s="27"/>
    </row>
    <row r="27" spans="1:5" ht="28.5" customHeight="1">
      <c r="A27" s="33">
        <v>31</v>
      </c>
      <c r="B27" s="31" t="s">
        <v>46</v>
      </c>
      <c r="C27" s="32">
        <v>561</v>
      </c>
      <c r="E27" s="27"/>
    </row>
    <row r="28" spans="1:5" ht="28.5" customHeight="1">
      <c r="A28" s="33">
        <v>32</v>
      </c>
      <c r="B28" s="31" t="s">
        <v>57</v>
      </c>
      <c r="C28" s="32">
        <v>518</v>
      </c>
      <c r="E28" s="27"/>
    </row>
    <row r="29" spans="1:5" ht="28.5" customHeight="1" thickBot="1">
      <c r="A29" s="34">
        <v>33</v>
      </c>
      <c r="B29" s="35" t="s">
        <v>58</v>
      </c>
      <c r="C29" s="36">
        <v>55</v>
      </c>
      <c r="E29" s="27"/>
    </row>
    <row r="30" spans="1:5" ht="28.5" customHeight="1">
      <c r="E30" s="27"/>
    </row>
    <row r="31" spans="1:5" ht="28.5" customHeight="1">
      <c r="E31" s="27"/>
    </row>
    <row r="32" spans="1:5" ht="28.5" customHeight="1">
      <c r="E32" s="27"/>
    </row>
    <row r="33" spans="5:5" ht="28.5" customHeight="1">
      <c r="E33" s="27"/>
    </row>
    <row r="34" spans="5:5" ht="28.5" customHeight="1">
      <c r="E34" s="27"/>
    </row>
    <row r="35" spans="5:5" ht="28.5" customHeight="1">
      <c r="E35" s="27"/>
    </row>
    <row r="36" spans="5:5" ht="28.5" customHeight="1">
      <c r="E36" s="27"/>
    </row>
    <row r="37" spans="5:5" ht="28.5" customHeight="1">
      <c r="E37" s="27"/>
    </row>
    <row r="38" spans="5:5" ht="28.5" customHeight="1">
      <c r="E38" s="27"/>
    </row>
    <row r="39" spans="5:5" ht="28.5" customHeight="1">
      <c r="E39" s="27"/>
    </row>
    <row r="40" spans="5:5" ht="28.5" customHeight="1">
      <c r="E40" s="27"/>
    </row>
    <row r="41" spans="5:5" ht="28.5" customHeight="1">
      <c r="E41" s="27"/>
    </row>
    <row r="42" spans="5:5" ht="28.5" customHeight="1">
      <c r="E42" s="27"/>
    </row>
    <row r="43" spans="5:5" ht="28.5" customHeight="1">
      <c r="E43" s="27"/>
    </row>
    <row r="44" spans="5:5" ht="28.5" customHeight="1">
      <c r="E44" s="27"/>
    </row>
    <row r="45" spans="5:5" ht="28.5" customHeight="1">
      <c r="E45" s="27"/>
    </row>
    <row r="46" spans="5:5" ht="28.5" customHeight="1">
      <c r="E46" s="27"/>
    </row>
  </sheetData>
  <mergeCells count="3">
    <mergeCell ref="A3:A4"/>
    <mergeCell ref="B3:B4"/>
    <mergeCell ref="A2:B2"/>
  </mergeCells>
  <pageMargins left="0.75" right="0.75" top="1" bottom="1" header="0.5" footer="0.5"/>
  <pageSetup paperSize="9" orientation="portrait"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CABC6-A819-4D72-B128-A7D4907751BB}">
  <dimension ref="A1:H36"/>
  <sheetViews>
    <sheetView rightToLeft="1" workbookViewId="0"/>
  </sheetViews>
  <sheetFormatPr defaultRowHeight="27" customHeight="1"/>
  <cols>
    <col min="1" max="1" width="9.140625" style="27"/>
    <col min="2" max="2" width="19" style="27" customWidth="1"/>
    <col min="3" max="3" width="17.42578125" style="27" customWidth="1"/>
    <col min="4" max="16384" width="9.140625" style="27"/>
  </cols>
  <sheetData>
    <row r="1" spans="1:8" ht="27" customHeight="1">
      <c r="A1" s="65" t="s">
        <v>104</v>
      </c>
      <c r="B1" s="65"/>
    </row>
    <row r="2" spans="1:8" ht="27" customHeight="1">
      <c r="A2" s="26" t="s">
        <v>109</v>
      </c>
      <c r="B2" s="26"/>
      <c r="C2" s="26"/>
      <c r="D2" s="26"/>
      <c r="E2" s="26"/>
      <c r="F2" s="26"/>
      <c r="G2" s="26"/>
      <c r="H2" s="26"/>
    </row>
    <row r="3" spans="1:8" ht="27" customHeight="1">
      <c r="A3" s="70" t="s">
        <v>108</v>
      </c>
      <c r="B3" s="70" t="s">
        <v>27</v>
      </c>
      <c r="C3" s="58" t="s">
        <v>26</v>
      </c>
    </row>
    <row r="4" spans="1:8" ht="27" customHeight="1">
      <c r="A4" s="70"/>
      <c r="B4" s="70"/>
      <c r="C4" s="39">
        <v>1400</v>
      </c>
    </row>
    <row r="5" spans="1:8" ht="27" customHeight="1">
      <c r="A5" s="72" t="s">
        <v>28</v>
      </c>
      <c r="B5" s="73"/>
      <c r="C5" s="41">
        <v>30415</v>
      </c>
    </row>
    <row r="6" spans="1:8" ht="27" customHeight="1">
      <c r="A6" s="33">
        <v>3</v>
      </c>
      <c r="B6" s="40" t="s">
        <v>0</v>
      </c>
      <c r="C6" s="41">
        <v>1943</v>
      </c>
    </row>
    <row r="7" spans="1:8" ht="27" customHeight="1">
      <c r="A7" s="33">
        <v>4</v>
      </c>
      <c r="B7" s="40" t="s">
        <v>1</v>
      </c>
      <c r="C7" s="41">
        <v>740</v>
      </c>
    </row>
    <row r="8" spans="1:8" ht="27" customHeight="1">
      <c r="A8" s="33">
        <v>24</v>
      </c>
      <c r="B8" s="40" t="s">
        <v>2</v>
      </c>
      <c r="C8" s="41">
        <v>345</v>
      </c>
    </row>
    <row r="9" spans="1:8" ht="27" customHeight="1">
      <c r="A9" s="33">
        <v>10</v>
      </c>
      <c r="B9" s="40" t="s">
        <v>3</v>
      </c>
      <c r="C9" s="41">
        <v>4176</v>
      </c>
    </row>
    <row r="10" spans="1:8" ht="27" customHeight="1">
      <c r="A10" s="33">
        <v>30</v>
      </c>
      <c r="B10" s="40" t="s">
        <v>4</v>
      </c>
      <c r="C10" s="41">
        <v>1771</v>
      </c>
    </row>
    <row r="11" spans="1:8" ht="27" customHeight="1">
      <c r="A11" s="33">
        <v>16</v>
      </c>
      <c r="B11" s="40" t="s">
        <v>5</v>
      </c>
      <c r="C11" s="41">
        <v>60</v>
      </c>
    </row>
    <row r="12" spans="1:8" ht="27" customHeight="1">
      <c r="A12" s="33">
        <v>18</v>
      </c>
      <c r="B12" s="40" t="s">
        <v>6</v>
      </c>
      <c r="C12" s="41">
        <v>199</v>
      </c>
    </row>
    <row r="13" spans="1:8" ht="27" customHeight="1">
      <c r="A13" s="33">
        <v>23</v>
      </c>
      <c r="B13" s="40" t="s">
        <v>7</v>
      </c>
      <c r="C13" s="41">
        <v>5282</v>
      </c>
    </row>
    <row r="14" spans="1:8" ht="27" customHeight="1">
      <c r="A14" s="33">
        <v>14</v>
      </c>
      <c r="B14" s="40" t="s">
        <v>64</v>
      </c>
      <c r="C14" s="41">
        <v>252</v>
      </c>
    </row>
    <row r="15" spans="1:8" ht="27" customHeight="1">
      <c r="A15" s="33">
        <v>29</v>
      </c>
      <c r="B15" s="40" t="s">
        <v>8</v>
      </c>
      <c r="C15" s="41">
        <v>132</v>
      </c>
    </row>
    <row r="16" spans="1:8" ht="27" customHeight="1">
      <c r="A16" s="33">
        <v>9</v>
      </c>
      <c r="B16" s="40" t="s">
        <v>29</v>
      </c>
      <c r="C16" s="41">
        <v>2290</v>
      </c>
    </row>
    <row r="17" spans="1:3" ht="27" customHeight="1">
      <c r="A17" s="33">
        <v>28</v>
      </c>
      <c r="B17" s="40" t="s">
        <v>9</v>
      </c>
      <c r="C17" s="41">
        <v>147</v>
      </c>
    </row>
    <row r="18" spans="1:3" ht="27" customHeight="1">
      <c r="A18" s="33">
        <v>6</v>
      </c>
      <c r="B18" s="40" t="s">
        <v>10</v>
      </c>
      <c r="C18" s="41">
        <v>750</v>
      </c>
    </row>
    <row r="19" spans="1:3" ht="27" customHeight="1">
      <c r="A19" s="33">
        <v>19</v>
      </c>
      <c r="B19" s="40" t="s">
        <v>11</v>
      </c>
      <c r="C19" s="41">
        <v>507</v>
      </c>
    </row>
    <row r="20" spans="1:3" ht="27" customHeight="1">
      <c r="A20" s="33">
        <v>20</v>
      </c>
      <c r="B20" s="40" t="s">
        <v>12</v>
      </c>
      <c r="C20" s="41">
        <v>1097</v>
      </c>
    </row>
    <row r="21" spans="1:3" ht="27" customHeight="1">
      <c r="A21" s="33">
        <v>11</v>
      </c>
      <c r="B21" s="40" t="s">
        <v>30</v>
      </c>
      <c r="C21" s="41">
        <v>364</v>
      </c>
    </row>
    <row r="22" spans="1:3" ht="27" customHeight="1">
      <c r="A22" s="33">
        <v>7</v>
      </c>
      <c r="B22" s="40" t="s">
        <v>13</v>
      </c>
      <c r="C22" s="41">
        <v>1365</v>
      </c>
    </row>
    <row r="23" spans="1:3" ht="27" customHeight="1">
      <c r="A23" s="33">
        <v>26</v>
      </c>
      <c r="B23" s="40" t="s">
        <v>14</v>
      </c>
      <c r="C23" s="41">
        <v>1188</v>
      </c>
    </row>
    <row r="24" spans="1:3" ht="27" customHeight="1">
      <c r="A24" s="33">
        <v>25</v>
      </c>
      <c r="B24" s="40" t="s">
        <v>15</v>
      </c>
      <c r="C24" s="41">
        <v>917</v>
      </c>
    </row>
    <row r="25" spans="1:3" ht="27" customHeight="1">
      <c r="A25" s="33">
        <v>12</v>
      </c>
      <c r="B25" s="40" t="s">
        <v>16</v>
      </c>
      <c r="C25" s="41">
        <v>245</v>
      </c>
    </row>
    <row r="26" spans="1:3" ht="27" customHeight="1">
      <c r="A26" s="33">
        <v>8</v>
      </c>
      <c r="B26" s="40" t="s">
        <v>17</v>
      </c>
      <c r="C26" s="41">
        <v>591</v>
      </c>
    </row>
    <row r="27" spans="1:3" ht="27" customHeight="1">
      <c r="A27" s="33">
        <v>5</v>
      </c>
      <c r="B27" s="40" t="s">
        <v>18</v>
      </c>
      <c r="C27" s="41">
        <v>312</v>
      </c>
    </row>
    <row r="28" spans="1:3" ht="27" customHeight="1">
      <c r="A28" s="33">
        <v>17</v>
      </c>
      <c r="B28" s="40" t="s">
        <v>31</v>
      </c>
      <c r="C28" s="41">
        <v>74</v>
      </c>
    </row>
    <row r="29" spans="1:3" ht="27" customHeight="1">
      <c r="A29" s="33">
        <v>27</v>
      </c>
      <c r="B29" s="40" t="s">
        <v>19</v>
      </c>
      <c r="C29" s="41">
        <v>449</v>
      </c>
    </row>
    <row r="30" spans="1:3" ht="27" customHeight="1">
      <c r="A30" s="51">
        <v>1</v>
      </c>
      <c r="B30" s="40" t="s">
        <v>20</v>
      </c>
      <c r="C30" s="41">
        <v>747</v>
      </c>
    </row>
    <row r="31" spans="1:3" ht="27" customHeight="1">
      <c r="A31" s="33">
        <v>15</v>
      </c>
      <c r="B31" s="40" t="s">
        <v>21</v>
      </c>
      <c r="C31" s="41">
        <v>271</v>
      </c>
    </row>
    <row r="32" spans="1:3" ht="27" customHeight="1">
      <c r="A32" s="33">
        <v>2</v>
      </c>
      <c r="B32" s="40" t="s">
        <v>22</v>
      </c>
      <c r="C32" s="41">
        <v>1098</v>
      </c>
    </row>
    <row r="33" spans="1:3" ht="27" customHeight="1">
      <c r="A33" s="33">
        <v>0</v>
      </c>
      <c r="B33" s="40" t="s">
        <v>32</v>
      </c>
      <c r="C33" s="41">
        <v>1238</v>
      </c>
    </row>
    <row r="34" spans="1:3" ht="27" customHeight="1">
      <c r="A34" s="33">
        <v>22</v>
      </c>
      <c r="B34" s="40" t="s">
        <v>23</v>
      </c>
      <c r="C34" s="41">
        <v>280</v>
      </c>
    </row>
    <row r="35" spans="1:3" ht="27" customHeight="1">
      <c r="A35" s="33">
        <v>13</v>
      </c>
      <c r="B35" s="40" t="s">
        <v>24</v>
      </c>
      <c r="C35" s="41">
        <v>443</v>
      </c>
    </row>
    <row r="36" spans="1:3" ht="27" customHeight="1" thickBot="1">
      <c r="A36" s="34">
        <v>21</v>
      </c>
      <c r="B36" s="42" t="s">
        <v>25</v>
      </c>
      <c r="C36" s="43">
        <v>1144</v>
      </c>
    </row>
  </sheetData>
  <mergeCells count="3">
    <mergeCell ref="B3:B4"/>
    <mergeCell ref="A3:A4"/>
    <mergeCell ref="A5:B5"/>
  </mergeCells>
  <pageMargins left="0.75" right="0.75" top="1" bottom="1" header="0.5" footer="0.5"/>
  <pageSetup paperSize="9" orientation="portrait" r:id="rId1"/>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F05C-F40A-4448-9994-12635DD8D215}">
  <dimension ref="A1:C29"/>
  <sheetViews>
    <sheetView rightToLeft="1" workbookViewId="0">
      <selection activeCell="A2" sqref="A2"/>
    </sheetView>
  </sheetViews>
  <sheetFormatPr defaultRowHeight="27" customHeight="1"/>
  <cols>
    <col min="1" max="1" width="15.28515625" style="27" customWidth="1"/>
    <col min="2" max="2" width="52.7109375" style="27" customWidth="1"/>
    <col min="3" max="3" width="15.85546875" style="27" customWidth="1"/>
    <col min="4" max="16384" width="9.140625" style="27"/>
  </cols>
  <sheetData>
    <row r="1" spans="1:3" ht="27" customHeight="1">
      <c r="A1" s="38" t="s">
        <v>104</v>
      </c>
    </row>
    <row r="2" spans="1:3" ht="27" customHeight="1" thickBot="1">
      <c r="A2" s="63" t="s">
        <v>111</v>
      </c>
      <c r="B2" s="63"/>
      <c r="C2" s="63"/>
    </row>
    <row r="3" spans="1:3" ht="27" customHeight="1">
      <c r="A3" s="76" t="s">
        <v>34</v>
      </c>
      <c r="B3" s="74" t="s">
        <v>35</v>
      </c>
      <c r="C3" s="59" t="s">
        <v>47</v>
      </c>
    </row>
    <row r="4" spans="1:3" ht="27" customHeight="1">
      <c r="A4" s="77"/>
      <c r="B4" s="75"/>
      <c r="C4" s="44">
        <v>1400</v>
      </c>
    </row>
    <row r="5" spans="1:3" ht="27" customHeight="1">
      <c r="A5" s="45"/>
      <c r="B5" s="31" t="s">
        <v>66</v>
      </c>
      <c r="C5" s="46">
        <f>SUM(C6:C29)</f>
        <v>1319703017.2635002</v>
      </c>
    </row>
    <row r="6" spans="1:3" ht="27" customHeight="1">
      <c r="A6" s="33">
        <v>10</v>
      </c>
      <c r="B6" s="31" t="s">
        <v>37</v>
      </c>
      <c r="C6" s="46">
        <v>285615640.82999998</v>
      </c>
    </row>
    <row r="7" spans="1:3" ht="27" customHeight="1">
      <c r="A7" s="33">
        <v>11</v>
      </c>
      <c r="B7" s="31" t="s">
        <v>38</v>
      </c>
      <c r="C7" s="46">
        <v>28026461.254000001</v>
      </c>
    </row>
    <row r="8" spans="1:3" ht="27" customHeight="1">
      <c r="A8" s="33">
        <v>12</v>
      </c>
      <c r="B8" s="31" t="s">
        <v>39</v>
      </c>
      <c r="C8" s="46">
        <v>406304</v>
      </c>
    </row>
    <row r="9" spans="1:3" ht="27" customHeight="1">
      <c r="A9" s="33">
        <v>13</v>
      </c>
      <c r="B9" s="31" t="s">
        <v>40</v>
      </c>
      <c r="C9" s="46">
        <v>39286776.406000003</v>
      </c>
    </row>
    <row r="10" spans="1:3" ht="27" customHeight="1">
      <c r="A10" s="33">
        <v>14</v>
      </c>
      <c r="B10" s="31" t="s">
        <v>41</v>
      </c>
      <c r="C10" s="46">
        <v>1846020.1821999999</v>
      </c>
    </row>
    <row r="11" spans="1:3" ht="27" customHeight="1">
      <c r="A11" s="33">
        <v>15</v>
      </c>
      <c r="B11" s="31" t="s">
        <v>50</v>
      </c>
      <c r="C11" s="46">
        <v>3076276.1981000002</v>
      </c>
    </row>
    <row r="12" spans="1:3" ht="27" customHeight="1">
      <c r="A12" s="33">
        <v>16</v>
      </c>
      <c r="B12" s="31" t="s">
        <v>59</v>
      </c>
      <c r="C12" s="46">
        <v>3932887.5532999998</v>
      </c>
    </row>
    <row r="13" spans="1:3" ht="27" customHeight="1">
      <c r="A13" s="33">
        <v>17</v>
      </c>
      <c r="B13" s="31" t="s">
        <v>51</v>
      </c>
      <c r="C13" s="46">
        <v>27018277.743999999</v>
      </c>
    </row>
    <row r="14" spans="1:3" ht="27" customHeight="1">
      <c r="A14" s="33">
        <v>18</v>
      </c>
      <c r="B14" s="31" t="s">
        <v>42</v>
      </c>
      <c r="C14" s="46">
        <v>3470792.0277999998</v>
      </c>
    </row>
    <row r="15" spans="1:3" ht="27" customHeight="1">
      <c r="A15" s="33">
        <v>19</v>
      </c>
      <c r="B15" s="31" t="s">
        <v>52</v>
      </c>
      <c r="C15" s="46">
        <v>75643715.256999999</v>
      </c>
    </row>
    <row r="16" spans="1:3" ht="27" customHeight="1">
      <c r="A16" s="33">
        <v>20</v>
      </c>
      <c r="B16" s="31" t="s">
        <v>60</v>
      </c>
      <c r="C16" s="46">
        <v>297549888.81999999</v>
      </c>
    </row>
    <row r="17" spans="1:3" ht="27" customHeight="1">
      <c r="A17" s="33">
        <v>21</v>
      </c>
      <c r="B17" s="31" t="s">
        <v>61</v>
      </c>
      <c r="C17" s="46">
        <v>15047237.573999999</v>
      </c>
    </row>
    <row r="18" spans="1:3" ht="27" customHeight="1">
      <c r="A18" s="33">
        <v>22</v>
      </c>
      <c r="B18" s="31" t="s">
        <v>62</v>
      </c>
      <c r="C18" s="46">
        <v>45097792.939000003</v>
      </c>
    </row>
    <row r="19" spans="1:3" ht="27" customHeight="1">
      <c r="A19" s="33">
        <v>23</v>
      </c>
      <c r="B19" s="31" t="s">
        <v>63</v>
      </c>
      <c r="C19" s="46">
        <v>122880577.84</v>
      </c>
    </row>
    <row r="20" spans="1:3" ht="27" customHeight="1">
      <c r="A20" s="33">
        <v>24</v>
      </c>
      <c r="B20" s="31" t="s">
        <v>43</v>
      </c>
      <c r="C20" s="46">
        <v>225531830.13</v>
      </c>
    </row>
    <row r="21" spans="1:3" ht="27" customHeight="1">
      <c r="A21" s="33">
        <v>25</v>
      </c>
      <c r="B21" s="31" t="s">
        <v>53</v>
      </c>
      <c r="C21" s="46">
        <v>46359066.625</v>
      </c>
    </row>
    <row r="22" spans="1:3" ht="27" customHeight="1">
      <c r="A22" s="33">
        <v>26</v>
      </c>
      <c r="B22" s="31" t="s">
        <v>54</v>
      </c>
      <c r="C22" s="46">
        <v>6718719.6634</v>
      </c>
    </row>
    <row r="23" spans="1:3" ht="27" customHeight="1">
      <c r="A23" s="33">
        <v>27</v>
      </c>
      <c r="B23" s="31" t="s">
        <v>44</v>
      </c>
      <c r="C23" s="46">
        <v>18776724.601</v>
      </c>
    </row>
    <row r="24" spans="1:3" ht="27" customHeight="1">
      <c r="A24" s="33">
        <v>28</v>
      </c>
      <c r="B24" s="31" t="s">
        <v>55</v>
      </c>
      <c r="C24" s="46">
        <v>22788865.026000001</v>
      </c>
    </row>
    <row r="25" spans="1:3" ht="27" customHeight="1">
      <c r="A25" s="33">
        <v>29</v>
      </c>
      <c r="B25" s="31" t="s">
        <v>56</v>
      </c>
      <c r="C25" s="46">
        <v>36847966.017999999</v>
      </c>
    </row>
    <row r="26" spans="1:3" ht="27" customHeight="1">
      <c r="A26" s="33">
        <v>30</v>
      </c>
      <c r="B26" s="31" t="s">
        <v>45</v>
      </c>
      <c r="C26" s="46">
        <v>4078191.1970000002</v>
      </c>
    </row>
    <row r="27" spans="1:3" ht="27" customHeight="1">
      <c r="A27" s="33">
        <v>31</v>
      </c>
      <c r="B27" s="31" t="s">
        <v>46</v>
      </c>
      <c r="C27" s="46">
        <v>2515934.5668000001</v>
      </c>
    </row>
    <row r="28" spans="1:3" ht="27" customHeight="1">
      <c r="A28" s="33">
        <v>32</v>
      </c>
      <c r="B28" s="31" t="s">
        <v>57</v>
      </c>
      <c r="C28" s="46">
        <v>4984607.5965999998</v>
      </c>
    </row>
    <row r="29" spans="1:3" ht="27" customHeight="1" thickBot="1">
      <c r="A29" s="34">
        <v>33</v>
      </c>
      <c r="B29" s="35" t="s">
        <v>58</v>
      </c>
      <c r="C29" s="47">
        <v>2202463.2143000001</v>
      </c>
    </row>
  </sheetData>
  <mergeCells count="2">
    <mergeCell ref="B3:B4"/>
    <mergeCell ref="A3:A4"/>
  </mergeCells>
  <pageMargins left="0.75" right="0.75" top="1" bottom="1" header="0.5" footer="0.5"/>
  <pageSetup paperSize="9" orientation="portrait"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3F6F-7685-44DB-8131-5D36D927B884}">
  <dimension ref="A1:C36"/>
  <sheetViews>
    <sheetView rightToLeft="1" workbookViewId="0">
      <selection activeCell="F6" sqref="F6"/>
    </sheetView>
  </sheetViews>
  <sheetFormatPr defaultRowHeight="27.75" customHeight="1"/>
  <cols>
    <col min="1" max="1" width="9.28515625" style="27" bestFit="1" customWidth="1"/>
    <col min="2" max="2" width="25" style="27" customWidth="1"/>
    <col min="3" max="3" width="16.42578125" style="27" bestFit="1" customWidth="1"/>
    <col min="4" max="16384" width="9.140625" style="27"/>
  </cols>
  <sheetData>
    <row r="1" spans="1:3" ht="27.75" customHeight="1">
      <c r="A1" s="38" t="s">
        <v>104</v>
      </c>
    </row>
    <row r="2" spans="1:3" ht="27.75" customHeight="1" thickBot="1">
      <c r="A2" s="26" t="s">
        <v>112</v>
      </c>
      <c r="B2" s="26"/>
    </row>
    <row r="3" spans="1:3" ht="27.75" customHeight="1">
      <c r="A3" s="78" t="s">
        <v>48</v>
      </c>
      <c r="B3" s="80" t="s">
        <v>27</v>
      </c>
      <c r="C3" s="60" t="s">
        <v>107</v>
      </c>
    </row>
    <row r="4" spans="1:3" ht="27.75" customHeight="1">
      <c r="A4" s="79"/>
      <c r="B4" s="81"/>
      <c r="C4" s="48">
        <v>1400</v>
      </c>
    </row>
    <row r="5" spans="1:3" ht="27.75" customHeight="1">
      <c r="A5" s="82" t="s">
        <v>67</v>
      </c>
      <c r="B5" s="83"/>
      <c r="C5" s="49">
        <f>SUM(C6:C36)</f>
        <v>1319703017.2573018</v>
      </c>
    </row>
    <row r="6" spans="1:3" ht="27.75" customHeight="1">
      <c r="A6" s="33">
        <v>3</v>
      </c>
      <c r="B6" s="50" t="s">
        <v>0</v>
      </c>
      <c r="C6" s="49">
        <v>83530478.454296008</v>
      </c>
    </row>
    <row r="7" spans="1:3" ht="27.75" customHeight="1">
      <c r="A7" s="33">
        <v>4</v>
      </c>
      <c r="B7" s="50" t="s">
        <v>1</v>
      </c>
      <c r="C7" s="49">
        <v>7217169.333333333</v>
      </c>
    </row>
    <row r="8" spans="1:3" ht="27.75" customHeight="1">
      <c r="A8" s="33">
        <v>24</v>
      </c>
      <c r="B8" s="50" t="s">
        <v>2</v>
      </c>
      <c r="C8" s="49">
        <v>6899421.583333333</v>
      </c>
    </row>
    <row r="9" spans="1:3" ht="27.75" customHeight="1">
      <c r="A9" s="33">
        <v>10</v>
      </c>
      <c r="B9" s="50" t="s">
        <v>3</v>
      </c>
      <c r="C9" s="49">
        <v>161664931.92344061</v>
      </c>
    </row>
    <row r="10" spans="1:3" ht="27.75" customHeight="1">
      <c r="A10" s="33">
        <v>30</v>
      </c>
      <c r="B10" s="50" t="s">
        <v>4</v>
      </c>
      <c r="C10" s="49">
        <v>45635130.662496172</v>
      </c>
    </row>
    <row r="11" spans="1:3" ht="27.75" customHeight="1">
      <c r="A11" s="33">
        <v>16</v>
      </c>
      <c r="B11" s="50" t="s">
        <v>5</v>
      </c>
      <c r="C11" s="49">
        <v>5511782</v>
      </c>
    </row>
    <row r="12" spans="1:3" ht="27.75" customHeight="1">
      <c r="A12" s="33">
        <v>18</v>
      </c>
      <c r="B12" s="50" t="s">
        <v>6</v>
      </c>
      <c r="C12" s="49">
        <v>108146801.41666667</v>
      </c>
    </row>
    <row r="13" spans="1:3" ht="27.75" customHeight="1">
      <c r="A13" s="33">
        <v>23</v>
      </c>
      <c r="B13" s="50" t="s">
        <v>7</v>
      </c>
      <c r="C13" s="49">
        <v>88406479.801171556</v>
      </c>
    </row>
    <row r="14" spans="1:3" ht="27.75" customHeight="1">
      <c r="A14" s="33">
        <v>14</v>
      </c>
      <c r="B14" s="50" t="s">
        <v>64</v>
      </c>
      <c r="C14" s="49">
        <v>6796629.666666667</v>
      </c>
    </row>
    <row r="15" spans="1:3" ht="27.75" customHeight="1">
      <c r="A15" s="33">
        <v>29</v>
      </c>
      <c r="B15" s="50" t="s">
        <v>8</v>
      </c>
      <c r="C15" s="49">
        <v>2620155.875</v>
      </c>
    </row>
    <row r="16" spans="1:3" ht="27.75" customHeight="1">
      <c r="A16" s="33">
        <v>9</v>
      </c>
      <c r="B16" s="50" t="s">
        <v>29</v>
      </c>
      <c r="C16" s="49">
        <v>86936721.183316141</v>
      </c>
    </row>
    <row r="17" spans="1:3" ht="27.75" customHeight="1">
      <c r="A17" s="33">
        <v>28</v>
      </c>
      <c r="B17" s="50" t="s">
        <v>9</v>
      </c>
      <c r="C17" s="49">
        <v>32183427</v>
      </c>
    </row>
    <row r="18" spans="1:3" ht="27.75" customHeight="1">
      <c r="A18" s="33">
        <v>6</v>
      </c>
      <c r="B18" s="50" t="s">
        <v>10</v>
      </c>
      <c r="C18" s="49">
        <v>232068002.77499998</v>
      </c>
    </row>
    <row r="19" spans="1:3" ht="27.75" customHeight="1">
      <c r="A19" s="33">
        <v>19</v>
      </c>
      <c r="B19" s="50" t="s">
        <v>11</v>
      </c>
      <c r="C19" s="49">
        <v>41629359.458333336</v>
      </c>
    </row>
    <row r="20" spans="1:3" ht="27.75" customHeight="1">
      <c r="A20" s="33">
        <v>20</v>
      </c>
      <c r="B20" s="50" t="s">
        <v>12</v>
      </c>
      <c r="C20" s="49">
        <v>43074994.885209218</v>
      </c>
    </row>
    <row r="21" spans="1:3" ht="27.75" customHeight="1">
      <c r="A21" s="33">
        <v>11</v>
      </c>
      <c r="B21" s="50" t="s">
        <v>30</v>
      </c>
      <c r="C21" s="49">
        <v>6454721.3666666653</v>
      </c>
    </row>
    <row r="22" spans="1:3" ht="27.75" customHeight="1">
      <c r="A22" s="33">
        <v>7</v>
      </c>
      <c r="B22" s="50" t="s">
        <v>13</v>
      </c>
      <c r="C22" s="49">
        <v>61888008.856900997</v>
      </c>
    </row>
    <row r="23" spans="1:3" ht="27.75" customHeight="1">
      <c r="A23" s="33">
        <v>26</v>
      </c>
      <c r="B23" s="50" t="s">
        <v>14</v>
      </c>
      <c r="C23" s="49">
        <v>40230285.544372298</v>
      </c>
    </row>
    <row r="24" spans="1:3" ht="27.75" customHeight="1">
      <c r="A24" s="33">
        <v>25</v>
      </c>
      <c r="B24" s="50" t="s">
        <v>15</v>
      </c>
      <c r="C24" s="49">
        <v>28779580.236063935</v>
      </c>
    </row>
    <row r="25" spans="1:3" ht="27.75" customHeight="1">
      <c r="A25" s="33">
        <v>12</v>
      </c>
      <c r="B25" s="50" t="s">
        <v>16</v>
      </c>
      <c r="C25" s="49">
        <v>7915424.333333333</v>
      </c>
    </row>
    <row r="26" spans="1:3" ht="27.75" customHeight="1">
      <c r="A26" s="33">
        <v>8</v>
      </c>
      <c r="B26" s="50" t="s">
        <v>17</v>
      </c>
      <c r="C26" s="49">
        <v>45260291.582634039</v>
      </c>
    </row>
    <row r="27" spans="1:3" ht="27.75" customHeight="1">
      <c r="A27" s="33">
        <v>5</v>
      </c>
      <c r="B27" s="50" t="s">
        <v>18</v>
      </c>
      <c r="C27" s="49">
        <v>20644963.220959593</v>
      </c>
    </row>
    <row r="28" spans="1:3" ht="27.75" customHeight="1">
      <c r="A28" s="33">
        <v>17</v>
      </c>
      <c r="B28" s="50" t="s">
        <v>65</v>
      </c>
      <c r="C28" s="49">
        <v>1550275.4285714286</v>
      </c>
    </row>
    <row r="29" spans="1:3" ht="27.75" customHeight="1">
      <c r="A29" s="33">
        <v>27</v>
      </c>
      <c r="B29" s="50" t="s">
        <v>19</v>
      </c>
      <c r="C29" s="49">
        <v>7071486.9761904757</v>
      </c>
    </row>
    <row r="30" spans="1:3" ht="27.75" customHeight="1">
      <c r="A30" s="51">
        <v>1</v>
      </c>
      <c r="B30" s="50" t="s">
        <v>20</v>
      </c>
      <c r="C30" s="49">
        <v>11239950.544322344</v>
      </c>
    </row>
    <row r="31" spans="1:3" ht="27.75" customHeight="1">
      <c r="A31" s="33">
        <v>15</v>
      </c>
      <c r="B31" s="50" t="s">
        <v>21</v>
      </c>
      <c r="C31" s="49">
        <v>3883268.1190476194</v>
      </c>
    </row>
    <row r="32" spans="1:3" ht="27.75" customHeight="1">
      <c r="A32" s="33">
        <v>2</v>
      </c>
      <c r="B32" s="50" t="s">
        <v>22</v>
      </c>
      <c r="C32" s="49">
        <v>19344066.56733821</v>
      </c>
    </row>
    <row r="33" spans="1:3" ht="27.75" customHeight="1">
      <c r="A33" s="33">
        <v>0</v>
      </c>
      <c r="B33" s="50" t="s">
        <v>32</v>
      </c>
      <c r="C33" s="49">
        <v>43027654.076959625</v>
      </c>
    </row>
    <row r="34" spans="1:3" ht="27.75" customHeight="1">
      <c r="A34" s="33">
        <v>22</v>
      </c>
      <c r="B34" s="50" t="s">
        <v>23</v>
      </c>
      <c r="C34" s="49">
        <v>28744227.95714286</v>
      </c>
    </row>
    <row r="35" spans="1:3" ht="27.75" customHeight="1">
      <c r="A35" s="33">
        <v>13</v>
      </c>
      <c r="B35" s="50" t="s">
        <v>24</v>
      </c>
      <c r="C35" s="49">
        <v>3179695.6515151504</v>
      </c>
    </row>
    <row r="36" spans="1:3" ht="27.75" customHeight="1" thickBot="1">
      <c r="A36" s="34">
        <v>21</v>
      </c>
      <c r="B36" s="52" t="s">
        <v>25</v>
      </c>
      <c r="C36" s="53">
        <v>38167630.777020201</v>
      </c>
    </row>
  </sheetData>
  <mergeCells count="3">
    <mergeCell ref="A3:A4"/>
    <mergeCell ref="B3:B4"/>
    <mergeCell ref="A5:B5"/>
  </mergeCells>
  <pageMargins left="0.75" right="0.75" top="1" bottom="1" header="0.5" footer="0.5"/>
  <pageSetup paperSize="0" orientation="portrait" horizontalDpi="0" verticalDpi="0" copies="0"/>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D10A-9CC9-4F42-8344-D386BD0D45D3}">
  <dimension ref="A1:C29"/>
  <sheetViews>
    <sheetView rightToLeft="1" workbookViewId="0">
      <selection activeCell="A2" sqref="A2"/>
    </sheetView>
  </sheetViews>
  <sheetFormatPr defaultRowHeight="26.25" customHeight="1"/>
  <cols>
    <col min="1" max="1" width="15.28515625" style="27" bestFit="1" customWidth="1"/>
    <col min="2" max="2" width="52.7109375" style="27" customWidth="1"/>
    <col min="3" max="3" width="16.7109375" style="27" customWidth="1"/>
    <col min="4" max="16384" width="9.140625" style="27"/>
  </cols>
  <sheetData>
    <row r="1" spans="1:3" ht="26.25" customHeight="1">
      <c r="A1" s="38" t="s">
        <v>104</v>
      </c>
    </row>
    <row r="2" spans="1:3" ht="26.25" customHeight="1" thickBot="1">
      <c r="A2" s="63" t="s">
        <v>113</v>
      </c>
      <c r="B2" s="63"/>
    </row>
    <row r="3" spans="1:3" ht="26.25" customHeight="1">
      <c r="A3" s="78" t="s">
        <v>34</v>
      </c>
      <c r="B3" s="74" t="s">
        <v>35</v>
      </c>
      <c r="C3" s="60" t="s">
        <v>49</v>
      </c>
    </row>
    <row r="4" spans="1:3" ht="26.25" customHeight="1">
      <c r="A4" s="79"/>
      <c r="B4" s="75"/>
      <c r="C4" s="44">
        <v>1400</v>
      </c>
    </row>
    <row r="5" spans="1:3" ht="26.25" customHeight="1">
      <c r="A5" s="54"/>
      <c r="B5" s="31" t="s">
        <v>36</v>
      </c>
      <c r="C5" s="55">
        <f>SUM(C6:C29)</f>
        <v>966445611.19210017</v>
      </c>
    </row>
    <row r="6" spans="1:3" ht="26.25" customHeight="1">
      <c r="A6" s="33">
        <v>10</v>
      </c>
      <c r="B6" s="31" t="s">
        <v>37</v>
      </c>
      <c r="C6" s="55">
        <v>227928540.34</v>
      </c>
    </row>
    <row r="7" spans="1:3" ht="26.25" customHeight="1">
      <c r="A7" s="33">
        <v>11</v>
      </c>
      <c r="B7" s="31" t="s">
        <v>38</v>
      </c>
      <c r="C7" s="55">
        <v>14516605.911</v>
      </c>
    </row>
    <row r="8" spans="1:3" ht="26.25" customHeight="1">
      <c r="A8" s="33">
        <v>12</v>
      </c>
      <c r="B8" s="31" t="s">
        <v>39</v>
      </c>
      <c r="C8" s="55">
        <v>236607</v>
      </c>
    </row>
    <row r="9" spans="1:3" ht="26.25" customHeight="1">
      <c r="A9" s="33">
        <v>13</v>
      </c>
      <c r="B9" s="31" t="s">
        <v>40</v>
      </c>
      <c r="C9" s="55">
        <v>32938342.068999998</v>
      </c>
    </row>
    <row r="10" spans="1:3" ht="26.25" customHeight="1">
      <c r="A10" s="33">
        <v>14</v>
      </c>
      <c r="B10" s="31" t="s">
        <v>41</v>
      </c>
      <c r="C10" s="55">
        <v>1605527.3273</v>
      </c>
    </row>
    <row r="11" spans="1:3" ht="26.25" customHeight="1">
      <c r="A11" s="33">
        <v>15</v>
      </c>
      <c r="B11" s="31" t="s">
        <v>50</v>
      </c>
      <c r="C11" s="55">
        <v>2475049.6981000002</v>
      </c>
    </row>
    <row r="12" spans="1:3" ht="26.25" customHeight="1">
      <c r="A12" s="33">
        <v>16</v>
      </c>
      <c r="B12" s="31" t="s">
        <v>59</v>
      </c>
      <c r="C12" s="55">
        <v>2825839.6897</v>
      </c>
    </row>
    <row r="13" spans="1:3" ht="26.25" customHeight="1">
      <c r="A13" s="33">
        <v>17</v>
      </c>
      <c r="B13" s="31" t="s">
        <v>51</v>
      </c>
      <c r="C13" s="55">
        <v>20520682.577</v>
      </c>
    </row>
    <row r="14" spans="1:3" ht="26.25" customHeight="1">
      <c r="A14" s="33">
        <v>18</v>
      </c>
      <c r="B14" s="31" t="s">
        <v>42</v>
      </c>
      <c r="C14" s="55">
        <v>3406001.0277999998</v>
      </c>
    </row>
    <row r="15" spans="1:3" ht="26.25" customHeight="1">
      <c r="A15" s="33">
        <v>19</v>
      </c>
      <c r="B15" s="31" t="s">
        <v>52</v>
      </c>
      <c r="C15" s="55">
        <v>66574736.909000002</v>
      </c>
    </row>
    <row r="16" spans="1:3" ht="26.25" customHeight="1">
      <c r="A16" s="33">
        <v>20</v>
      </c>
      <c r="B16" s="31" t="s">
        <v>60</v>
      </c>
      <c r="C16" s="55">
        <v>164117857.77000001</v>
      </c>
    </row>
    <row r="17" spans="1:3" ht="26.25" customHeight="1">
      <c r="A17" s="33">
        <v>21</v>
      </c>
      <c r="B17" s="31" t="s">
        <v>61</v>
      </c>
      <c r="C17" s="55">
        <v>7415522.6144000003</v>
      </c>
    </row>
    <row r="18" spans="1:3" ht="26.25" customHeight="1">
      <c r="A18" s="33">
        <v>22</v>
      </c>
      <c r="B18" s="31" t="s">
        <v>62</v>
      </c>
      <c r="C18" s="55">
        <v>37667731.375</v>
      </c>
    </row>
    <row r="19" spans="1:3" ht="26.25" customHeight="1">
      <c r="A19" s="33">
        <v>23</v>
      </c>
      <c r="B19" s="31" t="s">
        <v>63</v>
      </c>
      <c r="C19" s="55">
        <v>85924536.533999994</v>
      </c>
    </row>
    <row r="20" spans="1:3" ht="26.25" customHeight="1">
      <c r="A20" s="33">
        <v>24</v>
      </c>
      <c r="B20" s="31" t="s">
        <v>43</v>
      </c>
      <c r="C20" s="55">
        <v>186336630.09</v>
      </c>
    </row>
    <row r="21" spans="1:3" ht="26.25" customHeight="1">
      <c r="A21" s="33">
        <v>25</v>
      </c>
      <c r="B21" s="31" t="s">
        <v>53</v>
      </c>
      <c r="C21" s="55">
        <v>41111758.770000003</v>
      </c>
    </row>
    <row r="22" spans="1:3" ht="26.25" customHeight="1">
      <c r="A22" s="33">
        <v>26</v>
      </c>
      <c r="B22" s="31" t="s">
        <v>54</v>
      </c>
      <c r="C22" s="55">
        <v>5004739.3300999999</v>
      </c>
    </row>
    <row r="23" spans="1:3" ht="26.25" customHeight="1">
      <c r="A23" s="33">
        <v>27</v>
      </c>
      <c r="B23" s="31" t="s">
        <v>44</v>
      </c>
      <c r="C23" s="55">
        <v>14413641.203</v>
      </c>
    </row>
    <row r="24" spans="1:3" ht="26.25" customHeight="1">
      <c r="A24" s="33">
        <v>28</v>
      </c>
      <c r="B24" s="31" t="s">
        <v>55</v>
      </c>
      <c r="C24" s="55">
        <v>19392562.585999999</v>
      </c>
    </row>
    <row r="25" spans="1:3" ht="26.25" customHeight="1">
      <c r="A25" s="33">
        <v>29</v>
      </c>
      <c r="B25" s="31" t="s">
        <v>56</v>
      </c>
      <c r="C25" s="55">
        <v>22145576.563999999</v>
      </c>
    </row>
    <row r="26" spans="1:3" ht="26.25" customHeight="1">
      <c r="A26" s="33">
        <v>30</v>
      </c>
      <c r="B26" s="31" t="s">
        <v>45</v>
      </c>
      <c r="C26" s="55">
        <v>2751562.1970000002</v>
      </c>
    </row>
    <row r="27" spans="1:3" ht="26.25" customHeight="1">
      <c r="A27" s="33">
        <v>31</v>
      </c>
      <c r="B27" s="31" t="s">
        <v>46</v>
      </c>
      <c r="C27" s="55">
        <v>1940204.2811</v>
      </c>
    </row>
    <row r="28" spans="1:3" ht="26.25" customHeight="1">
      <c r="A28" s="33">
        <v>32</v>
      </c>
      <c r="B28" s="31" t="s">
        <v>57</v>
      </c>
      <c r="C28" s="55">
        <v>3565582.1143</v>
      </c>
    </row>
    <row r="29" spans="1:3" ht="26.25" customHeight="1" thickBot="1">
      <c r="A29" s="34">
        <v>33</v>
      </c>
      <c r="B29" s="35" t="s">
        <v>58</v>
      </c>
      <c r="C29" s="56">
        <v>1629773.2143000001</v>
      </c>
    </row>
  </sheetData>
  <mergeCells count="2">
    <mergeCell ref="A3:A4"/>
    <mergeCell ref="B3:B4"/>
  </mergeCells>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7114-D7B5-4E25-8C2A-21EEA46D42F3}">
  <dimension ref="A1:C36"/>
  <sheetViews>
    <sheetView rightToLeft="1" workbookViewId="0">
      <selection activeCell="G5" sqref="G5"/>
    </sheetView>
  </sheetViews>
  <sheetFormatPr defaultRowHeight="26.25" customHeight="1"/>
  <cols>
    <col min="1" max="1" width="9.140625" style="27"/>
    <col min="2" max="2" width="19" style="27" customWidth="1"/>
    <col min="3" max="3" width="16.7109375" style="27" customWidth="1"/>
    <col min="4" max="16384" width="9.140625" style="27"/>
  </cols>
  <sheetData>
    <row r="1" spans="1:3" ht="26.25" customHeight="1">
      <c r="A1" s="38" t="s">
        <v>104</v>
      </c>
    </row>
    <row r="2" spans="1:3" ht="26.25" customHeight="1" thickBot="1">
      <c r="A2" s="57" t="s">
        <v>114</v>
      </c>
      <c r="B2" s="57"/>
      <c r="C2" s="57"/>
    </row>
    <row r="3" spans="1:3" ht="26.25" customHeight="1">
      <c r="A3" s="78" t="s">
        <v>48</v>
      </c>
      <c r="B3" s="80" t="s">
        <v>27</v>
      </c>
      <c r="C3" s="60" t="s">
        <v>49</v>
      </c>
    </row>
    <row r="4" spans="1:3" ht="26.25" customHeight="1">
      <c r="A4" s="79"/>
      <c r="B4" s="81"/>
      <c r="C4" s="44">
        <v>1400</v>
      </c>
    </row>
    <row r="5" spans="1:3" ht="26.25" customHeight="1">
      <c r="A5" s="72" t="s">
        <v>28</v>
      </c>
      <c r="B5" s="73"/>
      <c r="C5" s="49">
        <f>SUM(C6:C36)</f>
        <v>966445611.18372619</v>
      </c>
    </row>
    <row r="6" spans="1:3" ht="26.25" customHeight="1">
      <c r="A6" s="33">
        <v>3</v>
      </c>
      <c r="B6" s="50" t="s">
        <v>0</v>
      </c>
      <c r="C6" s="49">
        <v>54434002.960196704</v>
      </c>
    </row>
    <row r="7" spans="1:3" ht="26.25" customHeight="1">
      <c r="A7" s="33">
        <v>4</v>
      </c>
      <c r="B7" s="50" t="s">
        <v>1</v>
      </c>
      <c r="C7" s="49">
        <v>5330568.2499999991</v>
      </c>
    </row>
    <row r="8" spans="1:3" ht="26.25" customHeight="1">
      <c r="A8" s="33">
        <v>24</v>
      </c>
      <c r="B8" s="50" t="s">
        <v>2</v>
      </c>
      <c r="C8" s="49">
        <v>1724118.2424242424</v>
      </c>
    </row>
    <row r="9" spans="1:3" ht="26.25" customHeight="1">
      <c r="A9" s="33">
        <v>10</v>
      </c>
      <c r="B9" s="50" t="s">
        <v>3</v>
      </c>
      <c r="C9" s="49">
        <v>128975841.49943735</v>
      </c>
    </row>
    <row r="10" spans="1:3" ht="26.25" customHeight="1">
      <c r="A10" s="33">
        <v>30</v>
      </c>
      <c r="B10" s="50" t="s">
        <v>4</v>
      </c>
      <c r="C10" s="49">
        <v>26428033.782991834</v>
      </c>
    </row>
    <row r="11" spans="1:3" ht="26.25" customHeight="1">
      <c r="A11" s="33">
        <v>16</v>
      </c>
      <c r="B11" s="50" t="s">
        <v>5</v>
      </c>
      <c r="C11" s="49">
        <v>3271719</v>
      </c>
    </row>
    <row r="12" spans="1:3" ht="26.25" customHeight="1">
      <c r="A12" s="33">
        <v>18</v>
      </c>
      <c r="B12" s="50" t="s">
        <v>6</v>
      </c>
      <c r="C12" s="49">
        <v>18532241.333333332</v>
      </c>
    </row>
    <row r="13" spans="1:3" ht="26.25" customHeight="1">
      <c r="A13" s="33">
        <v>23</v>
      </c>
      <c r="B13" s="50" t="s">
        <v>7</v>
      </c>
      <c r="C13" s="49">
        <v>79736803.135673746</v>
      </c>
    </row>
    <row r="14" spans="1:3" ht="26.25" customHeight="1">
      <c r="A14" s="33">
        <v>14</v>
      </c>
      <c r="B14" s="50" t="s">
        <v>64</v>
      </c>
      <c r="C14" s="49">
        <v>2861267.666666666</v>
      </c>
    </row>
    <row r="15" spans="1:3" ht="26.25" customHeight="1">
      <c r="A15" s="33">
        <v>29</v>
      </c>
      <c r="B15" s="50" t="s">
        <v>8</v>
      </c>
      <c r="C15" s="49">
        <v>1425291.875</v>
      </c>
    </row>
    <row r="16" spans="1:3" ht="26.25" customHeight="1">
      <c r="A16" s="33">
        <v>9</v>
      </c>
      <c r="B16" s="50" t="s">
        <v>29</v>
      </c>
      <c r="C16" s="49">
        <v>72460445.675627202</v>
      </c>
    </row>
    <row r="17" spans="1:3" ht="26.25" customHeight="1">
      <c r="A17" s="33">
        <v>28</v>
      </c>
      <c r="B17" s="50" t="s">
        <v>9</v>
      </c>
      <c r="C17" s="49">
        <v>21325453</v>
      </c>
    </row>
    <row r="18" spans="1:3" ht="26.25" customHeight="1">
      <c r="A18" s="33">
        <v>6</v>
      </c>
      <c r="B18" s="50" t="s">
        <v>10</v>
      </c>
      <c r="C18" s="49">
        <v>206270664.19166663</v>
      </c>
    </row>
    <row r="19" spans="1:3" ht="26.25" customHeight="1">
      <c r="A19" s="33">
        <v>19</v>
      </c>
      <c r="B19" s="50" t="s">
        <v>11</v>
      </c>
      <c r="C19" s="49">
        <v>35056116.958333328</v>
      </c>
    </row>
    <row r="20" spans="1:3" ht="26.25" customHeight="1">
      <c r="A20" s="33">
        <v>20</v>
      </c>
      <c r="B20" s="50" t="s">
        <v>12</v>
      </c>
      <c r="C20" s="49">
        <v>36820257.456291504</v>
      </c>
    </row>
    <row r="21" spans="1:3" ht="26.25" customHeight="1">
      <c r="A21" s="33">
        <v>11</v>
      </c>
      <c r="B21" s="50" t="s">
        <v>30</v>
      </c>
      <c r="C21" s="49">
        <v>4992111.0999999996</v>
      </c>
    </row>
    <row r="22" spans="1:3" ht="26.25" customHeight="1">
      <c r="A22" s="33">
        <v>7</v>
      </c>
      <c r="B22" s="50" t="s">
        <v>13</v>
      </c>
      <c r="C22" s="49">
        <v>41182811.814837486</v>
      </c>
    </row>
    <row r="23" spans="1:3" ht="26.25" customHeight="1">
      <c r="A23" s="33">
        <v>26</v>
      </c>
      <c r="B23" s="50" t="s">
        <v>14</v>
      </c>
      <c r="C23" s="49">
        <v>34802220.520562783</v>
      </c>
    </row>
    <row r="24" spans="1:3" ht="26.25" customHeight="1">
      <c r="A24" s="33">
        <v>25</v>
      </c>
      <c r="B24" s="50" t="s">
        <v>15</v>
      </c>
      <c r="C24" s="49">
        <v>26506314.892107889</v>
      </c>
    </row>
    <row r="25" spans="1:3" ht="26.25" customHeight="1">
      <c r="A25" s="33">
        <v>12</v>
      </c>
      <c r="B25" s="50" t="s">
        <v>16</v>
      </c>
      <c r="C25" s="49">
        <v>4735678.666666667</v>
      </c>
    </row>
    <row r="26" spans="1:3" ht="26.25" customHeight="1">
      <c r="A26" s="33">
        <v>8</v>
      </c>
      <c r="B26" s="50" t="s">
        <v>17</v>
      </c>
      <c r="C26" s="49">
        <v>22595345.511396576</v>
      </c>
    </row>
    <row r="27" spans="1:3" ht="26.25" customHeight="1">
      <c r="A27" s="33">
        <v>5</v>
      </c>
      <c r="B27" s="50" t="s">
        <v>18</v>
      </c>
      <c r="C27" s="49">
        <v>14007957.575757578</v>
      </c>
    </row>
    <row r="28" spans="1:3" ht="26.25" customHeight="1">
      <c r="A28" s="33">
        <v>17</v>
      </c>
      <c r="B28" s="50" t="s">
        <v>65</v>
      </c>
      <c r="C28" s="49">
        <v>116645.14285714286</v>
      </c>
    </row>
    <row r="29" spans="1:3" ht="26.25" customHeight="1">
      <c r="A29" s="33">
        <v>27</v>
      </c>
      <c r="B29" s="50" t="s">
        <v>19</v>
      </c>
      <c r="C29" s="49">
        <v>3649947.797619048</v>
      </c>
    </row>
    <row r="30" spans="1:3" ht="26.25" customHeight="1">
      <c r="A30" s="33">
        <v>1</v>
      </c>
      <c r="B30" s="50" t="s">
        <v>20</v>
      </c>
      <c r="C30" s="49">
        <v>7561312.1531135533</v>
      </c>
    </row>
    <row r="31" spans="1:3" ht="26.25" customHeight="1">
      <c r="A31" s="33">
        <v>15</v>
      </c>
      <c r="B31" s="50" t="s">
        <v>21</v>
      </c>
      <c r="C31" s="49">
        <v>892772.28571428568</v>
      </c>
    </row>
    <row r="32" spans="1:3" ht="26.25" customHeight="1">
      <c r="A32" s="33">
        <v>2</v>
      </c>
      <c r="B32" s="50" t="s">
        <v>22</v>
      </c>
      <c r="C32" s="49">
        <v>15169428.005433455</v>
      </c>
    </row>
    <row r="33" spans="1:3" ht="26.25" customHeight="1">
      <c r="A33" s="33">
        <v>0</v>
      </c>
      <c r="B33" s="50" t="s">
        <v>32</v>
      </c>
      <c r="C33" s="49">
        <v>39889222.075767539</v>
      </c>
    </row>
    <row r="34" spans="1:3" ht="26.25" customHeight="1">
      <c r="A34" s="33">
        <v>22</v>
      </c>
      <c r="B34" s="50" t="s">
        <v>23</v>
      </c>
      <c r="C34" s="49">
        <v>17353245.18571429</v>
      </c>
    </row>
    <row r="35" spans="1:3" ht="26.25" customHeight="1">
      <c r="A35" s="33">
        <v>13</v>
      </c>
      <c r="B35" s="50" t="s">
        <v>24</v>
      </c>
      <c r="C35" s="49">
        <v>1928531.6515151516</v>
      </c>
    </row>
    <row r="36" spans="1:3" ht="26.25" customHeight="1" thickBot="1">
      <c r="A36" s="34">
        <v>21</v>
      </c>
      <c r="B36" s="52" t="s">
        <v>25</v>
      </c>
      <c r="C36" s="53">
        <v>36409241.777020209</v>
      </c>
    </row>
  </sheetData>
  <mergeCells count="3">
    <mergeCell ref="A3:A4"/>
    <mergeCell ref="B3:B4"/>
    <mergeCell ref="A5:B5"/>
  </mergeCells>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فهرست</vt:lpstr>
      <vt:lpstr>مشخصات کلی طرح</vt:lpstr>
      <vt:lpstr>تعاریف</vt:lpstr>
      <vt:lpstr>خلاصه یافته</vt:lpstr>
      <vt:lpstr>تعداد کارگاه آیسیک</vt:lpstr>
      <vt:lpstr>تعداد کارگاه استان</vt:lpstr>
      <vt:lpstr>آب مصرفی آیسیک</vt:lpstr>
      <vt:lpstr>آب مصرفی استان</vt:lpstr>
      <vt:lpstr>آب خریداری آیسیک</vt:lpstr>
      <vt:lpstr>آب خریداری استان</vt:lpstr>
      <vt:lpstr>ab_kharidari_o96</vt:lpstr>
      <vt:lpstr>ab_os96</vt:lpstr>
      <vt:lpstr>tedad_isic96</vt:lpstr>
      <vt:lpstr>tedad_ostan96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razavi</dc:creator>
  <cp:lastModifiedBy>Ali Razavi</cp:lastModifiedBy>
  <dcterms:created xsi:type="dcterms:W3CDTF">2022-07-17T05:57:52Z</dcterms:created>
  <dcterms:modified xsi:type="dcterms:W3CDTF">2026-03-31T18:28:00Z</dcterms:modified>
</cp:coreProperties>
</file>